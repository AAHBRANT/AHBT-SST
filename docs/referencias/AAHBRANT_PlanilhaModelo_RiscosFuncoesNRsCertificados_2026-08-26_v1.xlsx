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ahbrant.sharepoint.com/sites/obrasativas/Documentos Compartilhados/UN.069 - Compl. Beira Rio - PB/08_QSMS/Segurança do Trabalho/PLANILHA DE DOCUMENTAÇÃO/"/>
    </mc:Choice>
  </mc:AlternateContent>
  <xr:revisionPtr revIDLastSave="162" documentId="13_ncr:1_{271F56E7-55A6-4537-ABB3-A379361D9996}" xr6:coauthVersionLast="47" xr6:coauthVersionMax="47" xr10:uidLastSave="{5AB5CCFD-C98F-480F-93AE-8189BB1235D0}"/>
  <bookViews>
    <workbookView xWindow="-110" yWindow="-110" windowWidth="19420" windowHeight="10300" tabRatio="745" firstSheet="5" activeTab="5" xr2:uid="{00000000-000D-0000-FFFF-FFFF00000000}"/>
  </bookViews>
  <sheets>
    <sheet name="TREINAMENTO DE NR 35" sheetId="15" r:id="rId1"/>
    <sheet name="CERTIFICADO DE NR 35" sheetId="16" r:id="rId2"/>
    <sheet name="TREINAMENTO DE NR 11" sheetId="9" r:id="rId3"/>
    <sheet name="CERTIFICADO DE NR 11" sheetId="12" r:id="rId4"/>
    <sheet name="TREINAMENTO DE NR 12 PORTATEIS" sheetId="14" r:id="rId5"/>
    <sheet name="CERTIFICADO DE NR 12 PORTATEIS" sheetId="13" r:id="rId6"/>
    <sheet name="TREINAMENTO DE NR 12" sheetId="8" r:id="rId7"/>
    <sheet name="CERTIFICADO DE NR 12" sheetId="10" r:id="rId8"/>
    <sheet name="TREINAMENTO DE INTEGRAÇÃO" sheetId="7" r:id="rId9"/>
    <sheet name="CERTIFICADO DE NR 18" sheetId="6" r:id="rId10"/>
    <sheet name="ORDEM DE SERVIÇO" sheetId="2" r:id="rId11"/>
    <sheet name="FICHA DE EPI" sheetId="5" r:id="rId12"/>
    <sheet name="MATRIZ FUNÇÃO" sheetId="1" r:id="rId13"/>
    <sheet name="MATRIZ FUNCIONÁRIOS" sheetId="3" r:id="rId14"/>
    <sheet name="MATRIZ EPI" sheetId="4" r:id="rId15"/>
  </sheets>
  <externalReferences>
    <externalReference r:id="rId16"/>
  </externalReferences>
  <definedNames>
    <definedName name="_xlnm._FilterDatabase" localSheetId="14" hidden="1">'MATRIZ EPI'!$A$1:$B$31</definedName>
    <definedName name="_xlnm._FilterDatabase" localSheetId="12" hidden="1">'MATRIZ FUNÇÃO'!$A$1:$G$1</definedName>
    <definedName name="_xlnm._FilterDatabase" localSheetId="13" hidden="1">'MATRIZ FUNCIONÁRIOS'!$A$1:$Q$224</definedName>
    <definedName name="_xlnm.Print_Area" localSheetId="3">'CERTIFICADO DE NR 11'!$A$1:$Q$71</definedName>
    <definedName name="_xlnm.Print_Area" localSheetId="7">'CERTIFICADO DE NR 12'!$A$1:$Q$71</definedName>
    <definedName name="_xlnm.Print_Area" localSheetId="5">'CERTIFICADO DE NR 12 PORTATEIS'!$A$1:$Q$68</definedName>
    <definedName name="_xlnm.Print_Area" localSheetId="9">'CERTIFICADO DE NR 18'!$A$1:$Q$67</definedName>
    <definedName name="_xlnm.Print_Area" localSheetId="1">'CERTIFICADO DE NR 35'!$A$1:$Q$71</definedName>
    <definedName name="_xlnm.Print_Area" localSheetId="11">'FICHA DE EPI'!$A$1:$H$76</definedName>
    <definedName name="_xlnm.Print_Area" localSheetId="10">'ORDEM DE SERVIÇO'!$A$1:$D$54</definedName>
    <definedName name="_xlnm.Print_Area" localSheetId="8">'TREINAMENTO DE INTEGRAÇÃO'!$A$1:$F$48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5" l="1"/>
  <c r="D8" i="2"/>
  <c r="A13" i="2" s="1"/>
  <c r="D9" i="2"/>
  <c r="C35" i="14"/>
  <c r="G37" i="5"/>
  <c r="D40" i="2" l="1"/>
  <c r="F19" i="6"/>
  <c r="F23" i="12"/>
  <c r="H14" i="12" s="1"/>
  <c r="H66" i="13"/>
  <c r="H14" i="10"/>
  <c r="C42" i="14"/>
  <c r="E42" i="14"/>
  <c r="C36" i="14"/>
  <c r="E36" i="14"/>
  <c r="C37" i="14"/>
  <c r="E37" i="14"/>
  <c r="C38" i="14"/>
  <c r="E38" i="14"/>
  <c r="C39" i="14"/>
  <c r="E39" i="14"/>
  <c r="C40" i="14"/>
  <c r="E40" i="14"/>
  <c r="C41" i="14"/>
  <c r="E41" i="14"/>
  <c r="C43" i="14"/>
  <c r="E43" i="14"/>
  <c r="C44" i="14"/>
  <c r="E44" i="14"/>
  <c r="C45" i="14"/>
  <c r="E45" i="14"/>
  <c r="E35" i="14"/>
  <c r="D41" i="2" l="1"/>
  <c r="A15" i="2"/>
  <c r="B20" i="5" l="1"/>
  <c r="B19" i="5"/>
  <c r="B27" i="9" l="1"/>
  <c r="B33" i="8"/>
  <c r="B35" i="7"/>
  <c r="E35" i="7" l="1"/>
  <c r="C35" i="7"/>
  <c r="F16" i="5" l="1"/>
  <c r="F17" i="5" s="1"/>
  <c r="F19" i="5" l="1"/>
  <c r="F20" i="5" s="1"/>
  <c r="F21" i="5" s="1"/>
  <c r="F22" i="5" s="1"/>
  <c r="F23" i="5" s="1"/>
  <c r="C36" i="8"/>
  <c r="D6" i="2"/>
  <c r="F22" i="16"/>
  <c r="C64" i="16" l="1"/>
  <c r="C15" i="16"/>
  <c r="H14" i="16" l="1"/>
  <c r="E43" i="15"/>
  <c r="C43" i="15"/>
  <c r="E42" i="15"/>
  <c r="C42" i="15"/>
  <c r="E41" i="15"/>
  <c r="C41" i="15"/>
  <c r="E40" i="15"/>
  <c r="C40" i="15"/>
  <c r="E39" i="15"/>
  <c r="C39" i="15"/>
  <c r="E38" i="15"/>
  <c r="C38" i="15"/>
  <c r="E37" i="15"/>
  <c r="C37" i="15"/>
  <c r="E36" i="15"/>
  <c r="C36" i="15"/>
  <c r="E35" i="15"/>
  <c r="C35" i="15"/>
  <c r="E34" i="15"/>
  <c r="C34" i="15"/>
  <c r="E33" i="15"/>
  <c r="C33" i="15"/>
  <c r="C33" i="8" l="1"/>
  <c r="C66" i="10"/>
  <c r="C66" i="12"/>
  <c r="C15" i="12"/>
  <c r="C15" i="10" l="1"/>
  <c r="H14" i="13"/>
  <c r="E27" i="9"/>
  <c r="E37" i="9"/>
  <c r="C37" i="9"/>
  <c r="E36" i="9"/>
  <c r="C36" i="9"/>
  <c r="E35" i="9"/>
  <c r="C35" i="9"/>
  <c r="E34" i="9"/>
  <c r="C34" i="9"/>
  <c r="E33" i="9"/>
  <c r="C33" i="9"/>
  <c r="E32" i="9"/>
  <c r="C32" i="9"/>
  <c r="E31" i="9"/>
  <c r="C31" i="9"/>
  <c r="E30" i="9"/>
  <c r="C30" i="9"/>
  <c r="E29" i="9"/>
  <c r="C29" i="9"/>
  <c r="E28" i="9"/>
  <c r="C28" i="9"/>
  <c r="C27" i="9"/>
  <c r="E43" i="8"/>
  <c r="C43" i="8"/>
  <c r="E42" i="8"/>
  <c r="C42" i="8"/>
  <c r="E41" i="8"/>
  <c r="C41" i="8"/>
  <c r="E40" i="8"/>
  <c r="C40" i="8"/>
  <c r="E39" i="8"/>
  <c r="C39" i="8"/>
  <c r="E38" i="8"/>
  <c r="C38" i="8"/>
  <c r="E37" i="8"/>
  <c r="C37" i="8"/>
  <c r="E36" i="8"/>
  <c r="E35" i="8"/>
  <c r="C35" i="8"/>
  <c r="E34" i="8"/>
  <c r="C34" i="8"/>
  <c r="E33" i="8"/>
  <c r="M14" i="16" l="1"/>
  <c r="N65" i="6"/>
  <c r="M14" i="13"/>
  <c r="M14" i="12" l="1"/>
  <c r="M14" i="10"/>
  <c r="C6" i="5"/>
  <c r="F28" i="5" l="1"/>
  <c r="B40" i="2"/>
  <c r="B9" i="2"/>
  <c r="N64" i="6" l="1"/>
  <c r="B39" i="2"/>
  <c r="G12" i="10"/>
  <c r="G12" i="16"/>
  <c r="Q12" i="13"/>
  <c r="Q12" i="16"/>
  <c r="G12" i="12"/>
  <c r="G12" i="13"/>
  <c r="Q12" i="6"/>
  <c r="Q12" i="10"/>
  <c r="Q12" i="12"/>
  <c r="C38" i="5"/>
  <c r="F75" i="5"/>
  <c r="G12" i="6"/>
  <c r="I68" i="12" l="1"/>
  <c r="N27" i="12"/>
  <c r="N27" i="10"/>
  <c r="I68" i="10"/>
  <c r="N26" i="13"/>
  <c r="I68" i="16"/>
  <c r="N26" i="16"/>
  <c r="N25" i="6"/>
  <c r="C26" i="5"/>
  <c r="C73" i="5" s="1"/>
  <c r="C36" i="5"/>
  <c r="C27" i="5"/>
  <c r="C74" i="5" s="1"/>
  <c r="F27" i="5"/>
  <c r="F74" i="5" s="1"/>
  <c r="C7" i="5"/>
  <c r="G8" i="5"/>
  <c r="G38" i="5" s="1"/>
  <c r="C28" i="5" l="1"/>
  <c r="C75" i="5" s="1"/>
  <c r="C37" i="5"/>
  <c r="B41" i="2" l="1"/>
  <c r="A34" i="2"/>
  <c r="I69" i="12" l="1"/>
  <c r="N28" i="12"/>
  <c r="I69" i="10"/>
  <c r="N28" i="10"/>
  <c r="I69" i="16"/>
  <c r="N27" i="16"/>
  <c r="N26" i="6"/>
  <c r="N27" i="13"/>
</calcChain>
</file>

<file path=xl/sharedStrings.xml><?xml version="1.0" encoding="utf-8"?>
<sst xmlns="http://schemas.openxmlformats.org/spreadsheetml/2006/main" count="1052" uniqueCount="639">
  <si>
    <t>CBO</t>
  </si>
  <si>
    <t>FUNÇÃO</t>
  </si>
  <si>
    <t>ATIVIDADES</t>
  </si>
  <si>
    <t>DESCRIÇÃO SUMÁRIA</t>
  </si>
  <si>
    <t xml:space="preserve">ORDEM DE SERVIÇO </t>
  </si>
  <si>
    <t>OBRIGAÇÕES DO EMPREGADO</t>
  </si>
  <si>
    <t>Considerando o interesse da empresa na redução de Acidentes do Trabalho, bem como cumprir o estabelecido no Artigo 157 – item II da C.L.T., com nova redação dada pela Lei n.º 6.514 de 22/12/77, fica determinado que é obrigação de todo empregado o cumprimento desta ordem de serviço e instrução de segurança do trabalho.</t>
  </si>
  <si>
    <t>DESCRIÇÃO DAS ATIVIDADES</t>
  </si>
  <si>
    <t>CBO:</t>
  </si>
  <si>
    <t>CARPINTEIRO</t>
  </si>
  <si>
    <t xml:space="preserve">FUNÇÃO: </t>
  </si>
  <si>
    <t>SETOR:</t>
  </si>
  <si>
    <t>EMPRESA:</t>
  </si>
  <si>
    <t>ELABORADO POR:</t>
  </si>
  <si>
    <t>CARGO:</t>
  </si>
  <si>
    <t>FUNCIONÁRIO:</t>
  </si>
  <si>
    <t>Conforme estabelecido no item 1.7, letra “b”, NR-01 da Portaria 3214/MTE, cabe ao empregador 
elaborar Ordem de Serviço (OS) sobre Segurança e Medicina do Trabalho, dando ciência aos empregados.</t>
  </si>
  <si>
    <t xml:space="preserve">RISCOS </t>
  </si>
  <si>
    <t>MATRIC:</t>
  </si>
  <si>
    <t>RISCOS OCUPACIONAIS</t>
  </si>
  <si>
    <t>PORTARIA 3214 DE 08 DE JUNHO DE 1978 - NORMA REGULAMENTADORA 01 - NR 1 - DISPOSIÇÕES GERAIS</t>
  </si>
  <si>
    <t>MEDIDAS PREVENTIVAS PARA REALIZAÇÃO DAS ATIVIDADES</t>
  </si>
  <si>
    <t>TREINAMENTOS OBRIGATÓRIOS</t>
  </si>
  <si>
    <t>NR 06 Equipamento de proteção individual;</t>
  </si>
  <si>
    <t>NR 17 Todos os empregados devem receber treinamentos ou instruções satisfatórias quanto aos métodos de trabalho, visando a garantir a execução de suas atividades com conforto e segurança;</t>
  </si>
  <si>
    <t>NR 23 Treinamento sobre princípios de incêndio e de como combatê-los;</t>
  </si>
  <si>
    <t>PROVIDÊNCIAS MÍNIMAS A SEREM TOMADAS EM CASO DE ACIDENTE:</t>
  </si>
  <si>
    <t>Todo e qualquer acidente de trabalho, deverá ser comunicado para o encarregado, na falta deste para o membro da CIPA e/ou ao Departamento Pessoal, para que possa ser providenciada a emissão da CAT – Comunicação de Acidente do Trabalho, cujo prazo é de 24 horas.</t>
  </si>
  <si>
    <t>PROIBIÇÕES</t>
  </si>
  <si>
    <t>O descumprimento do aqui estabelecido importará em ato faltoso do integrante, com aplicação de penalidades cabíveis, baseadas no artigo 158 da C.L.T. e bem com o estabelecido nas cláusulas contratuais.</t>
  </si>
  <si>
    <t>ATIVIDADES HABITUAIS</t>
  </si>
  <si>
    <t>TERMO DE RECEBIMENTO E COMPROMISSO</t>
  </si>
  <si>
    <t>Recebi da Empresa Talude Construções SA, a Ordem de Serviço (OS) que agora assino referente às minhas funções, que foi elaborada atendendo a legislação trabalhista em vigor, na qual cumprirei.</t>
  </si>
  <si>
    <t>DADOS DO FUNCIONÁRIO E ASSINATURA</t>
  </si>
  <si>
    <t>NOME LEGIVEL:</t>
  </si>
  <si>
    <t>CPF:</t>
  </si>
  <si>
    <t>IDENTIDADE:</t>
  </si>
  <si>
    <t xml:space="preserve">DATA: </t>
  </si>
  <si>
    <t>SETOR</t>
  </si>
  <si>
    <t>PRODUÇÃO</t>
  </si>
  <si>
    <t>ASSINATURA:</t>
  </si>
  <si>
    <t>TEC. SEGURANÇA DO TRABALHO</t>
  </si>
  <si>
    <t>ADMINISTRATIVO</t>
  </si>
  <si>
    <t>TÉC SEG DO TRABALHO</t>
  </si>
  <si>
    <t>OBS: O ACIDENTE NÃO COMUNICADO, NÃO SERÁ CONSIDERADO PARA EFEITOS LEGAIS.</t>
  </si>
  <si>
    <t>x</t>
  </si>
  <si>
    <t>PEDREIRO</t>
  </si>
  <si>
    <t>ARMADOR</t>
  </si>
  <si>
    <t>QUANT</t>
  </si>
  <si>
    <t>DESCRIÇÃO DO EQUIPAMENTO</t>
  </si>
  <si>
    <t>NºCA</t>
  </si>
  <si>
    <t>DATA ENTREGA</t>
  </si>
  <si>
    <t>CÓD</t>
  </si>
  <si>
    <t>ASSINATURA</t>
  </si>
  <si>
    <t>DATA DEVOL.</t>
  </si>
  <si>
    <t>X</t>
  </si>
  <si>
    <t>PROTETOR AURICULAR TIPO PLUG</t>
  </si>
  <si>
    <t>TERMO DE RESPONSABILIDADE 
E CONTROLE DE ENTREGA DE EQUIPAMENTO DE PROTEÇÃO INDIVIDUAL - EPI</t>
  </si>
  <si>
    <t>COLABORADOR:</t>
  </si>
  <si>
    <t>DATA ADMISSÃO:</t>
  </si>
  <si>
    <t>Informe o Código correspondente ao motivo da aquisição</t>
  </si>
  <si>
    <t>(A) 1ª aquisição / (B) Gasto Normal / (C) Danos / (D) extraviados/ (E) Acidente</t>
  </si>
  <si>
    <t>DECLARAÇÃO DE RECEBIMENTO DE EPI</t>
  </si>
  <si>
    <r>
      <t xml:space="preserve">Declaro em conformidade ao artigo 166 da Lei 6514/77 e NR-6 portaria 3214/78 do MTe, ter recebido gratuitamente os “Equipamentos de Proteção Individual – EPI” abaixo descritos, os quais me obrigo a usá-los, sistematicamente, em minhas atividades na empresa. Declaro também, que recebi orientação adequada quanto ao uso, finalidade, higienização, guarda conservação e ocasiões de substituições dos equipamentos de segurança abaixo descritos.
</t>
    </r>
    <r>
      <rPr>
        <b/>
        <sz val="11"/>
        <color theme="1"/>
        <rFont val="Arial"/>
        <family val="2"/>
      </rPr>
      <t>Declaro ainda, ter ciência de que:</t>
    </r>
    <r>
      <rPr>
        <sz val="11"/>
        <color theme="1"/>
        <rFont val="Arial"/>
        <family val="2"/>
      </rPr>
      <t xml:space="preserve">
a. Os EPIs deverão ser utilizados unicamente para o fim a que se destinam;
b. Qualquer alteração que os tornem danificados deverá ser por mim comunicados à minha empregadora;
c. A falta do uso por mim dos EPIs, fornecidos pela minha empregadora, constitui ato faltoso sujeito as sanções disciplinares previstas na legislação, no Regulamento Interno e nas Normas de Segurança da Empresa, aplicáveis ao assunto, inclusive e, especialmente, a demissão por justa causa.
d. Responsabilizar-me-ei, integralmente, pela guarda e conservação dos EPIs, que me forem entregues;
e. A minha empregadora fica expressamente autorizada a descontar dos meus salários bem como de indenizações, os valores dos EPIs, que porventura eu danificar culposa ou dolosamente, extrair e/ou não devolver para substituição ou por ocasião de meu desligamento da empresa.
</t>
    </r>
    <r>
      <rPr>
        <b/>
        <sz val="11"/>
        <color theme="1"/>
        <rFont val="Arial"/>
        <family val="2"/>
      </rPr>
      <t xml:space="preserve">
Finalmente, declaro que estou de acordo com todos os termos presentes, razão pela qual assino nesta data.
</t>
    </r>
  </si>
  <si>
    <t>NOME LEGÍVEL:</t>
  </si>
  <si>
    <t>FUNÇÃO:</t>
  </si>
  <si>
    <t>OP. DE MÁQUINAS</t>
  </si>
  <si>
    <t>LIMPEZA</t>
  </si>
  <si>
    <t>AJUDANTE DE OBRAS</t>
  </si>
  <si>
    <t>FAXINEIRO</t>
  </si>
  <si>
    <t>ASSIST. TEC. DE MEDIÇÃO</t>
  </si>
  <si>
    <t>GREIDISTA</t>
  </si>
  <si>
    <t>ELETRICISTA</t>
  </si>
  <si>
    <t>NR 05 CIPA</t>
  </si>
  <si>
    <t>SEM CA</t>
  </si>
  <si>
    <t>CA</t>
  </si>
  <si>
    <t>DESCRIÇÃO DO EPI</t>
  </si>
  <si>
    <t>BOTINA DE SEGURANÇA</t>
  </si>
  <si>
    <t>CONJ. UNIFORME</t>
  </si>
  <si>
    <t>UNI</t>
  </si>
  <si>
    <t>CAPA DE CHUVA AMARELA</t>
  </si>
  <si>
    <t>PROTETOR AURICULAR TIPO CONCHA</t>
  </si>
  <si>
    <t>MÁSCARA TIPO PPF2</t>
  </si>
  <si>
    <t>MACACÃO DE PROTEÇÃO</t>
  </si>
  <si>
    <t>PAR DE LUVAS PVC FORRADAS</t>
  </si>
  <si>
    <t>PAR DE LUVAS DE BORRACHA PVC</t>
  </si>
  <si>
    <t>PAR DE LUVAS NITRÍLICAS</t>
  </si>
  <si>
    <t>MANTAS DE COURO</t>
  </si>
  <si>
    <t>PAR DE LUVAS PIGMENTADA</t>
  </si>
  <si>
    <t xml:space="preserve">DESCRIÇÃO SINTÉTICA:
Atuar em atividades auxiliares relativas à execução de obras em geral
DESCRIÇÃO DETALHADA:
Executar trabalhos auxiliares, sob supervisão, de serviços de alvenaria, concreto e outros materiais, auxiliando em processos pertinentes para construir, reformar ou reparar prédios e obras similares;
Preparar concretos e argamassas segundo as características da obra e orientação superior.
Assentar diferentes materiais, sob orientação;
Revestir diferentes superfícies, sob supervisão;
Realizar reforma e manutenção de prédios, calçadas e outras estruturas, sob Supervisão superior;
Auxiliar na instalação de molduras de portas, janelas, quadro de luz e outros;
Auxiliar na armação e desmonte andaimes de madeira ou metálicos para execução de obras desejadas;
Auxiliar na montagem tubulações para instalações elétricas;
Realizar treinamento na área de atuação, quando solicitado;
Atuar, na qualidade de instrutor de treinamentos e outros eventos de igual natureza, mediante participação prévia em processo de qualificação e autorização superior;
Manter organizados, limpos e conservados os materiais, máquinas, equipamentos e local de trabalho;
Auxiliar na limpeza de frente de trabalho;
Auxiliar na recomposição de materiais com carrinho de mão;
Executar serviços manuais, utilizando ferramentas como: pá, enxada, picareta, vassoura, carrinho de mão entre outros;
Montagem e desmontagem de barracas, utilizadas na área de vivencia
Limpeza, retirada de lixo das áreas de vivencia;
Orientar operadores e motoristas em manobras;
Executar carregamento de peso manual;
Auxiliar na medição camadas fresadas, utilizando linhas, trenas e outros;
Pulverizar com óleo vegetal os pneus dos rolos durante a operação;
Auxiliar no assopramento da areia de aplicação do material;
Escavar valas, fixar piquetes;
Executar tarefas manuais rotineiras que exigem esforços físicos;
Remover e Manusear volumes, maquinas, moveis e equipamentos sempre que solicitado;
Auxiliar na faxina em geral;
</t>
  </si>
  <si>
    <t xml:space="preserve">DESCRIÇÃO SINTÉTICA:
Executar trabalhos de alvenaria, concreto e outros materiais, utilizando processos pertinentes para construir, reformar ou reparar prédios e obras similares.
DESCRIÇÃO DETALHADA:
Verifica as características da obra, examinando a planta e especificações para
orientar-se na escolha do material apropriado e na melhor forma de execução do trabalho;
Preparar concreto e argamassa segundo as características da obra;
Assentar diferentes materiais;
Revestir diferentes superfícies;
Realizar reforma e manutenção de prédios, calçadas e outras estruturas;
Instalar moldura de portas, janelas, quadro de luz e outros;
Armar e desmontar andaimes de madeira ou metálicos para execução de obras desejadas;
Montar tubulações para instalações elétricas;
Construir caixas de drenagem,montar canaletas,chumbar tubulação de drenos
Montar Canaletas,auxliar nos serviços de concretagem e finalizar acabamento no concreto;
Atuar, na qualidade de instrutor de treinamentos e outros eventos de igual natureza,
Mediante participação prévia em processo de qualificação e autorização superior.
Dirigir veículos leves, mediante autorização prévia, quando necessário ao exercício das demais atividades.
Manter organizados, limpos e conservados os materiais, máquinas, equipamentos,zelar e manter sob sua reponsabilidade os ferramentais de uso;
</t>
  </si>
  <si>
    <t xml:space="preserve"> </t>
  </si>
  <si>
    <t xml:space="preserve">Ao utilizar escadas moveis procure fixa-la corretamente procurando apoiar-se pelo corrimão.
Ao descer e subir escadas utilize o corrimão.
Ao movimentar cargas e materiais procure mantê-la próximo do peito para proporcionar equilíbrio ao corpo.
Ao alavancar cargas e materiais do piso manter a coluna ereta e usar as pernas como alavanca.
Proibido realizar atividades para as quais não esteja capacitado, habilitado e autorizado pela empresa.
Mesmo nas atividades em circuitos desnergizados utilizar luvas de borracha compatível com a voltagem do loca.
Isole as partes vivas expostas dos circuitos provisórios.
Atenção e cuidado com as partes moveis de maquinários, não manter contato direto com o equipamento em movimento.
Fume somente nos locais permitidos que estejam sinalizados.
Preservar o meio ambiente, não jogando lixos em locais inadequados.
Use os EPI´s apenas para aas finalidades a que se destinam, guarde e conserve-os.
Use protetor auditivo, quando trabalhar em local ruidoso.
Use ferramentas manuais adequadas e as mantenha em boas condições para emprego.
Somente ligue maquinas e equipamentos, com intermédio de conjunto de plug tomada.
Evite emendas paralelas nos cabos/fios, use fita isolante adequada.
Comparecer ao departamento medico para exame periódicos sempre que solicitado.
Não improvise ferramentas, procure uma que seja adequada para seu serviço.
Comunique ao seu encarregado toda e qualquer anormalidade ou defeito que notar na maquina ou ferramenta que for utilizar.
Quando não souber ou tiver sobre algum serviço, pergunte ao encarregado, para prevenir-se contra possíveis acedentes.
Não transite pela obra sem uniforme, capacete, óculos de segurança, protetor auditivo e botina de segurança.
Nos trabalhos em altura superior a 2,00 (dois) metros na periferia do elevado, andaimes, estruturas, equipamentos, etc.. use o cinto
De segurança.
Não improvise andaimes de madeira, caixa e massa e nem trabalhe em andaimes sem guarda corpo, rodapé e estrado com mínimo
De 0,60 cm de largura, chame seu encarregado.
Obedecer as instruções do Técnico de Segurança, quando determinadas para você.
</t>
  </si>
  <si>
    <t>CARGOS</t>
  </si>
  <si>
    <t>CARGOS / FUNÇÃO</t>
  </si>
  <si>
    <t>INSTRUÇÃO DE SEGURANÇA DO TRABALHO</t>
  </si>
  <si>
    <t xml:space="preserve">ORDEM DE SERVIÇO SOBRE HIGIENE, SEGURANÇA E MEDICINA DO TRABALHO </t>
  </si>
  <si>
    <r>
      <rPr>
        <b/>
        <sz val="10"/>
        <color rgb="FF002060"/>
        <rFont val="Arial"/>
        <family val="2"/>
      </rPr>
      <t>1.7. CABE AO EMPREGADOR:</t>
    </r>
    <r>
      <rPr>
        <sz val="10"/>
        <color theme="1"/>
        <rFont val="Arial"/>
        <family val="2"/>
      </rPr>
      <t xml:space="preserve">
a) CUMPRIR E FAZER CUMPRIR AS DISPOSIÇÕES LEGAIS E REGULAMENTARES SOBRE SEGURANÇA E MEDICINA DO TRABALHO;
b) ELABORAR ORDENS DE SERVIÇO SOBRE SEGURANÇA E SAÚDE NO TRABALHO, DANDO CIÊNCIA AOS EMPREGADOS, POR COMUNICADOS, CARTAZES OU MEIOS ELETRÔNICOS:
I-PREVENIR ATOS INSEGUROS NO DESEMPENHO DO TRABALHO;
II-DIVULGAR AS OBRIGAÇÕES E PROIBIÇÕES QUE OS EMPREGADOS DEVAM CONHECER E CUMPRIR;
III-DAR CONHECIMENTO AOS EMPREGADOS DE QUE SERÃO PASSÍVEIS DE PUNIÇÃO, PELO DESCUMPRIMENTO DAS ORDENS DE SERVIÇO EXPEDIDAS;
IV-DETERMINAR OS PROCEDIMENTOS QUE DEVEM SER ADOTADOS EM CASO DE ACIDENTE OU  DOENÇA  RELACIONADA AO TRABALHO;
V-ADOTAR MEDIDAS DETERMINADAS PELO MTb;
VI-ADOTAR MEDIDAS PARA ELIMINAR OU NEUTRALIZAR A INSALUBRIDADE E AS CONDIÇÕES INSEGURAS DE TRABALHO.
c) INFORMAR AOS TRABALHADORES:
I-OS RISCOS PROFISSIONAIS QUE POSSAM ORIGINAR-SE NOS LOCAIS DE TRABALHO;
II-OS MEIOS PARA PREVENIR E LIMITAR TAIS RISCOS E AS MEDIDAS ADOTADAS PELA EMPRESA;
III-OS RESULTADOS DOS EXAMES MÉDICOS E DE EXAMES COMPLEMENTARES DE DIAGNÓSTICO AOS QUAIS OS PRÓPRIOS TRABALHADORES FOREM SUBMETIDOS;
IV-OS RESULTADOS DAS AVALIAÇÕES AMBIENTAIS REALIZADAS NOS LOCAIS DE TRABALHO.
d) PERMITIR QUE REPRESENTANTES DOS TRABALHADORES ACOMPANHEM A FISCALIZAÇÃO DOS PRECEITOS LEGAIS E REGULAMENTARES SOBRE SEGURANÇA E MEDICINA DO TRABALHO.
</t>
    </r>
    <r>
      <rPr>
        <b/>
        <sz val="10"/>
        <color rgb="FF002060"/>
        <rFont val="Arial"/>
        <family val="2"/>
      </rPr>
      <t>1.8. CABE AO EMPREGADO:</t>
    </r>
    <r>
      <rPr>
        <sz val="10"/>
        <color theme="1"/>
        <rFont val="Arial"/>
        <family val="2"/>
      </rPr>
      <t xml:space="preserve">
a) CUMPRIR AS DISPOSIÇÕES LEGAIS E REGULAMENTARES SOBRE SEGURANÇA E SAÚDE DO TRABALHO, INCLUSIVE AS ORDENS DE SERVIÇO EXPEDIDAS PELO EMPREGADOR;
b) USAR O EPI FORNECIDO PELO EMPREGADOR;
c) SUBMETER-SE AOS EXAMES MÉDICOS PREVISTOS NAS NORMAS REGULAMENTADORAS - NRR; NR-31
d) COLABORAR COM A EMPRESA NA APLICAÇÃO DAS NORMAS REGULAMENTADORAS – NRR; NR-31</t>
    </r>
  </si>
  <si>
    <t>OS</t>
  </si>
  <si>
    <t>SOL</t>
  </si>
  <si>
    <t>PROTETOR SOLAR LUVEX UV F60</t>
  </si>
  <si>
    <t>LUVA DE VAQUETA</t>
  </si>
  <si>
    <t>CARGO: ELETRICISTA
FUNÇÃO: ELETRICISTA
CBO: 7156-05</t>
  </si>
  <si>
    <t>FISICO: RUIDO, CALOR, FRIO
QUIMICO: POEIRA DE OBRA
ERGONOMICO: POSTURA INADEQUADA
ACIDENTE: QUEDA DE MESMO NIVEL, CHOQUE ELÉTRICO.</t>
  </si>
  <si>
    <t>LIMPAR RECINTOS E ACESSÓRIOS
Limpar vidros
Remover resíduos dos vidros
Limpar móveis e equipamentos
Limpeza de sanitários
Limpar superfícies (paredes, pisos, etc..)
Aspirar pó
Lavar pisos
Encerar pisos
Remover sujeira
Varrer pisos
Secar pisos
Passar pano
Limpar cortinas e persianas
Recolher lixo</t>
  </si>
  <si>
    <t>PAR DE LUVA P/IMPACTO</t>
  </si>
  <si>
    <t>CARGO: FAXINEIRA
FUNÇÃO:  FAXINEIRA
CBO: 5143-20</t>
  </si>
  <si>
    <t>CARGO: AJUDANTE DE OBRAS
FUNÇÃO: SERVIÇOS OPERACIONAIS NA EXECUÇÃO DE OBRAS
CBO: 7170-20</t>
  </si>
  <si>
    <t>CARGO: PEDREIRO
FUNÇÃO: SERVIÇOS DE ALVENARIA,CONCRETOS E OUTROS MATERIAIS 
CBO: 7152-10</t>
  </si>
  <si>
    <t>FORMULÁRIO</t>
  </si>
  <si>
    <t>TREINAMENTO DE INTEGRAÇÃO</t>
  </si>
  <si>
    <t>FO.M.
VER. 00
fl. 01/01</t>
  </si>
  <si>
    <t>Nome da Empresa:</t>
  </si>
  <si>
    <t>Data:</t>
  </si>
  <si>
    <t>Responsável pelo treinamento:</t>
  </si>
  <si>
    <t>Assinatura do Responsável:</t>
  </si>
  <si>
    <t>Nº</t>
  </si>
  <si>
    <t>Nome do colaborador</t>
  </si>
  <si>
    <t>Função</t>
  </si>
  <si>
    <t>Assinatura</t>
  </si>
  <si>
    <t>Mat:</t>
  </si>
  <si>
    <t>EPI</t>
  </si>
  <si>
    <t>NR 18</t>
  </si>
  <si>
    <t>NR 12</t>
  </si>
  <si>
    <t>NR 11</t>
  </si>
  <si>
    <t>INT</t>
  </si>
  <si>
    <t>LIST NR 11</t>
  </si>
  <si>
    <t>LIST NR 12</t>
  </si>
  <si>
    <t>NR 10</t>
  </si>
  <si>
    <t xml:space="preserve">DESCRIÇÃO SINTÉTICA:
 Condução de veículos de médio e grande porte.
DESCRIÇÃO DETALHADA:
 Dirigir veículos de médio e grande porte;
 Transportar materiais, equipamentos e documentos;
 Verificar, diariamente, as condições de funcionamento do veículo, antes de sua
Utilização;
 Comunicar a chefia imediata por escrito assinando a comunicação da necessidade de reparos no veículo;
 Zelar pela segurança de passageiros no caso de ajudante;
 Orientar e auxiliar na carga e descarga de materiais;
 Amarrar a carga e conferir;
 Atentar – se ao peso da carga e zelar pelo equipamento;
 Registrar dados preestabelecidos, sobre a utilização diária do veículo;
 Verificar, trocar ou completar, se necessário cotidianamente o óleo, a água e o
Combustível;
 Efetuar limpeza dos materiais que ficam encostados na caçamba;
 Limpar placas, faróis e sinaleiros dos veículos utilizados;
 Estar sempre atualizado com as leis e normas de trânsito e respeita- las;
 Realizar treinamento na área de atuação, quando solicitado;
 Utilizar a carga horária que lhe é pertinente com zelo, dedicação, responsabilidade e a serviço da Empresa;
 Manter organizados, limpos e conservados os materiais, máquinas, equipamentos e local de trabalho, que estão sob sua responsabilidade;
 Operar de acordo com a capacidade e especificações do fabricante.
</t>
  </si>
  <si>
    <t>CARGO: SERVIÇO DE CONDUÇÃO DE VEÍCULOS DE MÉDIO E GRANDE PORTE.
FUNÇÃO: MOTORISTA
CBO: 7823-05</t>
  </si>
  <si>
    <t xml:space="preserve">Certificamos que o Sr. </t>
  </si>
  <si>
    <t>portador do RG:</t>
  </si>
  <si>
    <t>sede da empresa na Estrada Ibateguara, 170 Jardim Mutinga, Tamboré, Barueri, SP</t>
  </si>
  <si>
    <t xml:space="preserve">Barueri, SP, data: </t>
  </si>
  <si>
    <t>CERTIFICADO</t>
  </si>
  <si>
    <t>TÉC SEGURANÇA DO TRABALHO</t>
  </si>
  <si>
    <t>RESP TÉCNICO</t>
  </si>
  <si>
    <t>Informações sobre as condições e meio ambiente de trabalho;PGR - Plano de Gerenciamento de Resíduos; Contenção de Vazamento; Perigos e Riscos, Aspectos e Impactos Ambientais; Uso adequado dos Equipamentos de Proteção Individual;</t>
  </si>
  <si>
    <t>CARGO: GREIDISTA
FUNÇÃO: GREIDISTA
CBO: 3123-20</t>
  </si>
  <si>
    <t>RASTELEIRO</t>
  </si>
  <si>
    <t>MOTORISTA CARRETEIRO</t>
  </si>
  <si>
    <t xml:space="preserve">DESCRIÇÃO SINTÉTICA:
 Atuar em atividades auxiliares relativas à execução de acabamentos de emendas.
DESCRIÇÃO DETALHADA:
 Executar trabalhos auxiliares, sob supervisão;
 Nivelar manualmente o inicio da camada de materiais (BGS – BGTC – CBUQ e etc..);
 Auxiliar na limpeza da área de serviço 
 Execultar serviços de espalhamento e acabamentode massa asfáltica;
 Inspecionar seus equipamentos de trabalho (Rastelo – Pá – Vassoura – Carrinho de Mão e etc...);
 Auxiliar na limpeza em geral e dos equipamentos de pavimentação.
</t>
  </si>
  <si>
    <t>CARGO: RASTELEIRO
FUNÇÃO: SERVIÇOS OPERACIONAIS NA EXECUÇÃO DE OBRAS.
CBO: 7170-10</t>
  </si>
  <si>
    <t>CARGO: MOTORISTA DE CAMINHÃO,CARRETA E PLATAFORMA
FUNÇÃO: SERVIÇO DE CONDUÇÃO DE VEÍCULOS DE MÉDIO E GRANDE PORTE.
CBO: 7825-10</t>
  </si>
  <si>
    <t>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t>
  </si>
  <si>
    <t>LUVA ISOLANTE CLASSE 00 500V</t>
  </si>
  <si>
    <t>CAPACETE ABA TOTAL C/ JUGULAR B</t>
  </si>
  <si>
    <t>DATA ADM:</t>
  </si>
  <si>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
Planejam o trabalho, realizam manutenção básica de máquinas pesadas e as operam. Removem solo e material orgânico "bota-fora", drenam solos e executam construção de aterros.</t>
  </si>
  <si>
    <t>PAR DE LUVA DE RASPA</t>
  </si>
  <si>
    <t>P</t>
  </si>
  <si>
    <t>MESISTA</t>
  </si>
  <si>
    <t xml:space="preserve">DESCRIÇÃO SINTÉTICA:
 Atuar em atividades a mesa da vibro acabadora.
DESCRIÇÃO DETALHADA:
 Executar trabalhos auxiliares, sob supervisão, de obras similares;
 dirigir veículos leves, mediante autorização prévia, quando necessário ao exercício das demais atividades;
 Responsavel pelo nivelamento da maquina;
 Verificar a vibração da maquina de compactação;
 Nivelamento da espessura da camada material;
 Controlar o andamento da operação regulando o consumo do material;
 Avisar das condições do funcionamento da maquina;
 manter organizados, limpos e conservados os materiais, máquinas, equipamentos e local de trabalho, que estão sob sua responsabilidade.
</t>
  </si>
  <si>
    <t>CARGO: MESISTA
FUNÇÃO: MESISTA
CBO: 7151-40</t>
  </si>
  <si>
    <t>LISTA DE PRESENÇA</t>
  </si>
  <si>
    <t>CARGA HORÁRIA</t>
  </si>
  <si>
    <t>8 HORAS</t>
  </si>
  <si>
    <t>INSTRUTOR</t>
  </si>
  <si>
    <t>LOCAL DO TREINAMENTO</t>
  </si>
  <si>
    <t>ASSUNTOS ABORDADOS DAS 08:00h às 16:00h</t>
  </si>
  <si>
    <t>SALA DE TREINAMENTO</t>
  </si>
  <si>
    <t>DATA</t>
  </si>
  <si>
    <t>OBRA</t>
  </si>
  <si>
    <t>EMPRESA</t>
  </si>
  <si>
    <t>NR 12 - SEGURANÇA NO TRABALHO EM MÁQUINAS E EQUIPAMENTOS</t>
  </si>
  <si>
    <t>ASSINATURA DO INSTRUTOR DO TREINAMENTO</t>
  </si>
  <si>
    <t xml:space="preserve">Princípios básicos da operação de máquinas pesadas;
</t>
  </si>
  <si>
    <t xml:space="preserve">Técnicas de operação de máquinas pesadas como escavação, movimentação de cargas, etc;
</t>
  </si>
  <si>
    <t>Normas regulamentadoras (como as NRs 05, 06,  07, 09 e 11);</t>
  </si>
  <si>
    <t>Principais sistemas e componentes de máquinas e equipamentos;</t>
  </si>
  <si>
    <t xml:space="preserve">Responsabilidades do operador de máquinas;  </t>
  </si>
  <si>
    <t>Inspeção inicial da máquina ou equipamento;</t>
  </si>
  <si>
    <t>Lista de verificação (checklist);</t>
  </si>
  <si>
    <t xml:space="preserve">Cuidados com pneus e rodas; </t>
  </si>
  <si>
    <t xml:space="preserve">Cuidados com sistema de esteiras; </t>
  </si>
  <si>
    <t>Práticas recomendáveis para o uso de máquinas e equipamentos;</t>
  </si>
  <si>
    <t>Segurança na operação como raio de operação, sinalização, etc;</t>
  </si>
  <si>
    <t xml:space="preserve">Direção defensiva  negligência, imprudência, imperícia, atenção, habilidade, ação e descanso; </t>
  </si>
  <si>
    <t>Drogas e álcool.</t>
  </si>
  <si>
    <t xml:space="preserve">A importância da manutenção corretiva e preventiva; </t>
  </si>
  <si>
    <t>Cuidados para a utilização da máquina;</t>
  </si>
  <si>
    <t xml:space="preserve">Uso de uniforme e equipamentos de proteção individual (EPIs); </t>
  </si>
  <si>
    <t>participou do Curso de Segurança em Trabalho em Maquinas e Equipamentos, em conformidade</t>
  </si>
  <si>
    <t xml:space="preserve">com a NR 12, no período de  </t>
  </si>
  <si>
    <t xml:space="preserve"> na função</t>
  </si>
  <si>
    <t> A capacitação  para operação  segura de máquinas.</t>
  </si>
  <si>
    <t>a)   descrição e identificação dos riscos associados com cada máquina e equipamento e as proteções específicas contra cada um deles;</t>
  </si>
  <si>
    <t>b)   funcionamento das proteções; como e por que devem ser usadas;</t>
  </si>
  <si>
    <t>c)   como e em que circunstâncias uma proteção pode ser removida, e por quem, sendo na maioria dos casos, somente o pessoal de inspeção ou manutenção;</t>
  </si>
  <si>
    <t>d)   o que fazer, por exemplo, contatar o supervisor, se uma proteção foi danificada ou se perdeu sua função, deixando</t>
  </si>
  <si>
    <t>de garantir uma segurança adequada;</t>
  </si>
  <si>
    <t>e)   os princípios de segurança na utilização da máquina ou equipamento;</t>
  </si>
  <si>
    <t>f)    segurança para riscos mecânicos, elétricos e outros relevantes;</t>
  </si>
  <si>
    <t>g)   método de trabalho seguro;</t>
  </si>
  <si>
    <t>h)   permissão de trabalho; e</t>
  </si>
  <si>
    <t>i)    sistema  de  bloqueio  de  funcionamento  da  máquina  e equipamento durante  operações  de  inspeção,  limpeza, lubrificação e manutenção.</t>
  </si>
  <si>
    <t> Etapas teórica e prática </t>
  </si>
  <si>
    <t>a)   noções sobre legislação de trânsito e de legislação de segurança e saúde no trabalho;</t>
  </si>
  <si>
    <t>b)   noções sobre acidentes e doenças decorrentes da exposição aos riscos existentes na máquina, equipamentos e implementos;</t>
  </si>
  <si>
    <t>c)   medidas de controle dos riscos: EPC e EPI;</t>
  </si>
  <si>
    <t>d)   operação com segurança da máquina ou equipamento;</t>
  </si>
  <si>
    <t>e)   inspeção, regulagem e manutenção com segurança;</t>
  </si>
  <si>
    <t>f)     sinalização de segurança;</t>
  </si>
  <si>
    <t>g)   procedimentos em situação de emergência; e</t>
  </si>
  <si>
    <t>h)   noções sobre prestação de primeiros socorros.</t>
  </si>
  <si>
    <t>TEC SEGURANÇA DO TRABALHO</t>
  </si>
  <si>
    <t>CONTEUDO PROGRAMÁTICO</t>
  </si>
  <si>
    <t xml:space="preserve">Maquina utilizados nas aulas praticas: </t>
  </si>
  <si>
    <t>d)   o que fazer, por exemplo, contatar o supervisor, se uma proteção foi danificada ou se perdeu sua função, deixando de garantir uma segurança adequada;</t>
  </si>
  <si>
    <t xml:space="preserve">DESCRIÇÃO SINTÉTICA:
 Atuar em atividades relativas à área de carpintaria.
DESCRIÇÃO DETALHADA:
 Montagem e desmontagem de formas /Ecoramentos/Cimbramentos;
 Auxiliar reajuste de formas no momento da concretagem;
 Auxiliar em atividades relacionadas a reformas e construções, segundo orientação;
 Montar andaimes, caixarias e tapumes de madeira;
 Executar serviços diversos de carpintaria em geral, segundo orientações;
 Realizar treinamento na área de atuação, quando solicitado;
 Reparar elementos de madeira, substituindo total ou parcialmente peças desgastadas ou deterioradas ou fixando partes soltas para recompor sua estrutura;
 Afiar ferramentas de corte, utilizando rebolo, lima, assentador ou pedra de afiar, para manter o gume;
 Manter organizados, limpos e conservados os materiais, máquinas, equipamentos e local de trabalho, que estão sob sua responsabilidade;
 Montar e desmontar andaimes;
 Nivelar e alinhar formas,escorametos e cimbramentos;
 Ler,Interpretar e seguir projetos;
 Zelar e manter sob sua reponsabilidade os ferramentais de uso
</t>
  </si>
  <si>
    <t xml:space="preserve">CARGO: CARPINTEIRO
FUNÇÃO: SERVIÇOS DE CARPINTARIA 
CBO: 7155-05
</t>
  </si>
  <si>
    <t xml:space="preserve"> na função de</t>
  </si>
  <si>
    <t>para Maquinas</t>
  </si>
  <si>
    <t xml:space="preserve">Capacitação  para operação  segura de máquinas.
a) descrição e identificação dos riscos associados com cada máquina e equipamento e as proteções específicas contra cada um deles;
b) funcionamento das proteções; como e por que devem ser usadas;
c) como e em que circunstâncias uma proteção pode ser removida, e por quem, sendo na maioria dos casos, somente o pessoal de inspeção ou manutenção;
d) o que fazer, por exemplo, contatar o supervisor,se uma proteção foi danificada ou se perdeu sua função,deixando de garantir uma segurança adequada;
e) os princípios de segurança na utilização da máquina ou equipamento;
f)  segurança para riscos mecânicos, elétricos e outros relevantes;
g) método de trabalho seguro;
h) permissão de trabalho; e
i)  sistema de bloqueio de funcionamento da máquina e equipamento durante operações  de  inspeção, limpeza, lubrificação e manutenção.
 Etapas teórica e prática 
a) noções sobre legislação de trânsito e de legislação de segurança e saúde no trabalho;
b) noções sobre acidentes e doenças decorrentes da exposição aos riscos existentes na máquina, equipamentos e implementos;
c) medidas de controle dos riscos: EPC e EPI;
d) operação com segurança da máquina ou equipamento;
e) inspeção, regulagem e manutenção com segurança;
f)  sinalização de segurança;
g) procedimentos em situação de emergência; e
h) noções sobre prestação de primeiros socorros.
Maquinas utilizadas nas aulas praticas:  </t>
  </si>
  <si>
    <t>ENCARREGADO DE OBRAS</t>
  </si>
  <si>
    <t>DESCRIÇÃO SINTÉTICA:
Atuar em atividades relativas à área de organização, coordenação 
e supervisão de construção civil e pavimentação.
DESCRIÇÃO DETALHADA:
Organizar, coordenar e supervisionar grupos de trabalhadores que desenvolvem suas atribuições na área da construção civil, infraestrutura e pavimentação;
Garantir o desenvolvimento do processo de execução das obras dentro dos
Prazos e normas estabelecidas;
Providenciar que as pessoas sob o seu comando utilizem equipamentos de
Proteção individual (EPI), de acordo com as normas de segurança em vigor;
Empenhar-se em buscar seu próprio desenvolvimento profissional;
Buscar o desenvolvimento pessoal e profissional das pessoas que atuam sob seu comando;
Acompanhar a evolução profissional das pessoas sob seu comando;
Manter ou desenvolver visando o desempenho apropriado de suas funções,
Atuar na qualidade de instrutor de treinamentos e outros eventos de igual
Natureza, mediante participação prévia em processo de qualificação e
Autorização superior;
Dirigir veículos leves, mediante autorização prévia, quando necessário ao
Exercício das demais atividades;
Manter organizados, limpos e conservados os materiais, máquinas,
Equipamentos e local de trabalho, que estão sob sua responsabilidade</t>
  </si>
  <si>
    <t>OP DE VIBROACABADORA</t>
  </si>
  <si>
    <t>CARGO: OPERADOR DE VIBROACABADORA
FUNÇÃO: OPERADOR DE VIBROACABADORA
CBO: 715125    CBO: 715140</t>
  </si>
  <si>
    <t>DESCRIÇÃO SINTÉTICA:
 Atuar em atividades auxiliares relativas à execução de obras em geral Atuar em atividades relativas à área de operação de máquinas e equipamentos,
DESCRIÇÃO DETALHADA:
 Operar as seguintes máquinas: vibro acabadora 
 operar máquinas munidas de uma lâmina ou escarifador, movida por autopropulsão ou por reboque, manipulando os comandos de marcha e direção, para nivelar terrenos na construção de edifícios, estradas, pistas e de outras obras;
 verificar, trocar ou completar, se necessário cotidianamente o óleo, a água e o
combustível;limpar, lubrificar e ajustar as máquinas e seus implementos, de acordo com as instruções de manutenção do fabricante;
 acompanhar os serviços de manutenção preventiva e corretiva das máquinas e seus implementos e, após executados, efetuar os testes necessários;
 realizar treinamento na área de atuação, quando solicitado;
 observar as medidas de segurança ao operar e estacionar as máquinas;
 anotar, segundo normas estabelecidas, dados e informações sobre trabalhos
realizados, consumo de combustível, consertos e outras ocorrências;
 limpar placas, faróis e sinaleiros das máquinas e equipamentos utilizado;
 Obedecer a legislação de transito;
 Vistoriar mangueira,óleo,combustível e agua;
 manter organizados, limpos e conservados os materiais, máquinas, equipamentos e local de trabalho, que estão sob sua responsabilidade;
 Espalhar material (Asfalto,BGS,BGTC,CBUQ e etc...);
 Fresamento da camada asfáltica;
 Nivelar o solo;
 Laminar o solo;
 manter organizados, limpos e conservados os materiais, máquinas, equipamentos e local de trabalho, que estão sob sua responsabilidade, incluindo a limpeza da
incrustações em laminas, conchas e demais partes do equipamento onde há
possibilidade de incrustações de produtos;
 Responsalidade pelo manuseio do equipamento;
 Controlar capacidade do equipamento dentro das especificações do fabricante</t>
  </si>
  <si>
    <t xml:space="preserve">Capacitação  para operação  segura de máquinas.
a) descrição e identificação dos riscos associados com cada máquina e equipamento e as proteções específicas contra cada um deles;
b) funcionamento das proteções; como e por que devem ser usadas;
c) como e em que circunstâncias uma proteção pode ser removida, e por quem, sendo na maioria dos casos, somente o pessoal de inspeção ou manutenção;
d) o que fazer, por exemplo, contatar o supervisor,se uma proteção foi danificada ou se perdeu sua função,deixando de garantir uma segurança adequada;
e) os princípios de segurança na utilização da máquina ou equipamento;
f)  segurança para riscos mecânicos, elétricos e outros relevantes;
g) método de trabalho seguro;
h) permissão de trabalho; e
i)  sistema de bloqueio de funcionamento da máquina e equipamento durante operações  de  inspeção, limpeza, lubrificação e manutenção.
 Etapas teórica e prática 
a) noções sobre legislação de trânsito e de legislação de segurança e saúde no trabalho;
b) noções sobre acidentes e doenças decorrentes da exposição aos riscos existentes na máquina, equipamentos e implementos;
c) medidas de controle dos riscos: EPC e EPI;
d) operação com segurança da máquina ou equipamento;
e) inspeção, regulagem e manutenção com segurança;
f)  sinalização de segurança;
g) procedimentos em situação de emergência; e
h) noções sobre prestação de primeiros socorros.
</t>
  </si>
  <si>
    <t xml:space="preserve">PAR DE PERNEIRA </t>
  </si>
  <si>
    <t>PROTETOR FACIAL VISEIRA</t>
  </si>
  <si>
    <t>BOTA DE BORRACHA</t>
  </si>
  <si>
    <t>AVENTAL DE COURO</t>
  </si>
  <si>
    <t xml:space="preserve">	DESCRIÇÃO SINTÉTICA:
	Atuar em atividades relativas à área de confecção de armações e estruturas de
concreto e madeira.Preparar a confecção de armações de estruturas de concreto e de corpos de provas;
	Montar armações de ferragens em geral;
	Cortar e dobrar ferragens;
	Aplicação de armações e formações de lajes e vigas;
	Realizar treinamento na área de atuação, quando solicitado;
	Execultar cortes e dobras de ferragens;
	Amarra as ferragens utilizando turquesas e arrames;
	Montar ferragens de acordo com o projeto orientado pelo encarregado;
	Efetuar carregamento manual de ferragens;
	Manter organizados, limpos e conservados os materiais, máquinas, equipamentos e local de trabalho, que estão sob sua responsabilidade;
	Ler,Interpretar e seguir projetos;
	Zelar e manter sob sua reponsabilidade os ferramentais de uso.
</t>
  </si>
  <si>
    <t>CARGO: ARMADOR;:FUNÇÃO: SERVIÇOS DE CONFECÇÃO DE ARMAÇÕES  FERRAGEM -	CBO: 7153-15</t>
  </si>
  <si>
    <t>Ajudam a executar tarefa de demolição de estrutura de alvenaria, Quebra de pisos e bases de concreto, construção e reparos em edificações de alvenaria, executar escavações, escoramento de valas e recomposição de pisos, Ajuda a executar paredes de alvenaria, executar trabalhos de retiradas de entulhos, espalhamento de materiais, carregamento e descarregamentos, desvios de trânsito auxilia na sinalização.</t>
  </si>
  <si>
    <t>DESCRIÇÃO SINTÉTICA:
	Auxiliar na elaborar, executar e dirigir projetos de engenharia civil.
DESCRIÇÃO DETALHADA:
	Auxilia na elaborar projetos de engenharia relativos a estrutura de edificações, tráfegos, vias urbanas e obras de pavimentação, sistemas de água e esgoto, aproveitamento de
	Recursos naturais, serviços de equipamentos urbanos, rurais e regionais, entre outros;
	Estudar características, especificações e preparar plantas, orçamentos de custos,técnicas de execução e outros dados, para possibilitar e orientar a construção,manutenção e reparo das obras, dentro dos padrões técnicos exigidos;
	Efetuar vistorias, perícias, avaliação de imóveis, arbitramento, emitindo laudos e pareceres técnicos;
	Participar de planos gerais e específicos, que visem o posicionamento institucional frente à comunidade, no que tange a sua especialidade e formação;
	Realizar treinamento na área de atuação, quando solicitado;
	Atuar, na qualidade de instrutor de treinamentos e outros eventos de igual natureza,mediante participação prévia em processo de qualificação e autorização superior;
	Operar equipamentos e sistemas de informática e outros, quando autorizado e
	Necessário ao exercício das demais atividades;
	Dirigir veículos leves, mediante autorização prévia, quando necessário ao exercício das demais atividades;</t>
  </si>
  <si>
    <t>ENCARREGADO DE CARPINTARIA</t>
  </si>
  <si>
    <t>Assessoram aquisição de equipamentos, materiais e serviços, coordenam diretamente equipes de trabalhadores e organizam ambiente de trabalho em indústrias da madeira, mobiliário e de carpintaria. Preparam madeiras e supervisionam produção. Controlam estoque e expedição de materiais e produtos e manutenção de máquinas, equipamentos e ferramentas. Proporcionam segurança no trabalho.</t>
  </si>
  <si>
    <t>DESCRIÇÃO SINTÉTICA:
Atuar em atividades relativas à área de organização, coordenação 
e supervisão de construção civil, serviços de carpintaria e pavimentação.
DESCRIÇÃO DETALHADA:
Organizar, coordenar e supervisionar grupos de trabalhadores que desenvolvem suas atribuições na área da construção civil, infraestrutura e pavimentação;
Garantir o desenvolvimento do processo de execução das obras dentro dos
Prazos e normas estabelecidas;
Providenciar que as pessoas sob o seu comando utilizem equipamentos de
Proteção individual (EPI), de acordo com as normas de segurança em vigor;
Empenhar-se em buscar seu próprio desenvolvimento profissional;
Buscar o desenvolvimento pessoal e profissional das pessoas que atuam sob seu comando;
Acompanhar a evolução profissional das pessoas sob seu comando;
Manter ou desenvolver visando o desempenho apropriado de suas funções,
Atuar na qualidade de instrutor de treinamentos e outros eventos de igual
Natureza, mediante participação prévia em processo de qualificação e
Autorização superior;
Dirigir veículos leves, mediante autorização prévia, quando necessário ao
Exercício das demais atividades;
Manter organizados, limpos e conservados os materiais, máquinas,
Equipamentos e local de trabalho, que estão sob sua responsabilidade</t>
  </si>
  <si>
    <t>CARGO: ENCARREGADO DE  CARPINTARIA 
FUNÇÃO: ENCARREGADO DE CARPINATRIA
CBO: 770110</t>
  </si>
  <si>
    <t>Informações sobre os Equipamentos de Proteção Coletiva (EPC) existentes no canteiro de obras; APR - Análise Preliminar da riscos, PTR- Permissão de Trabalho de Riscos;</t>
  </si>
  <si>
    <t>Responsável em espalhar, rejuntar e fazer a emendas durante a aplicação da massa asfáltica.</t>
  </si>
  <si>
    <t>OP. DE FRESA</t>
  </si>
  <si>
    <t>Operam máquinas e equipamentos, como opera fresadora de asfalto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materiais em máquinas e equipamentos, Trabalham seguindo normas de segurança, higiene, qualidade e proteção ao meio ambiente</t>
  </si>
  <si>
    <t xml:space="preserve">DESCRIÇÃO SINTÉTICA:
Atuar em atividades auxiliares relativas à execução de obras em ger Atuar em atividades relativas à área de operação de máquinas e equipamentos,
DESCRIÇÃO DETALHADA:
Operar as seguintes máquinas: britador, betoneira, escavadeira hidráulica, pá
carregadeira, retro escavadeira, trator, espagidor de asfalto, moto niveladora, rolo compactador, fresadora de asfálto, vibro acabadora entre outras;
operar máquinas munidas de uma lâmina ou escarifador, movida por autopropulsão ou por reboque, manipulando os comandos de marcha e direção, para nivelar terrenos na construção de edifícios, estradas, pistas e de outras obras;
verificar, trocar ou completar, se necessário cotidianamente o óleo, a água e o
combustível;limpar, lubrificar e ajustar as máquinas e seus implementos, de acordo com as instruções de manutenção do fabricante;
acompanhar os serviços de manutenção preventiva e corretiva das máquinas e seus implementos e, após executados, efetuar os testes necessários;
realizar treinamento na área de atuação, quando solicitado;
observar as medidas de segurança ao operar e estacionar as máquinas;
anotar, segundo normas estabelecidas, dados e informações sobre trabalhos realizados, consumo de combustível, consertos e outras ocorrências;
limpar placas, faróis e sinaleiros das máquinas e equipamentos utilizado;
Obedecer a legislação de transito;
Vistoriar mangueira,óleo,combustível e agua;
Compactar o solo;
manter organizados, limpos e conservados os materiais, máquinas, equipamentos e local de trabalho, que estão sob sua responsabilidade;
Espalhar material (Asfalto,BGS,BGTC,CBUQ e etc...);
Escavar solo;
Fresamento da camada asfáltica;
Nivelar o solo;
Carregar material e cortar buracos;
Laminar o solo;
Varrer o solo com vassoura mecânica;
operar equipamentos e sistemas de informática e outros, quando autorizado e necessário ao exercício das demais atividades;
Dirigir veículos leves, mediante autorização prévia, quando necessário ao  exercício das demais atividades;
Manter organizados, limpos e conservados os materiais, máquinas, equipamentos e local de trabalho, que estão sob sua responsabilidade, incluindo a limpeza da incrustações em laminas, conchas e demais partes do equipamento onde há
possibilidade de incrustações de produtos;utilizar a carga horária de lhe é pertinente com dedicação, zelo, responsabilidade  e tão somente a serviço da empresa;
Responsalidade pelo manuseio do equipamento;
Controlar capacidade do equipamento dentro das especificações do fabricante.
</t>
  </si>
  <si>
    <t>CARGO: ESCAVADEIRAS HIDRÁULICAS, MOTO NIVELADORA, TRATOR DE ESTEIRA, TRATOR D6 E D8, OPERADOR DE FRESADEIRA, RETRO ESCAVADEIRAS E ROLO COMPACTADOR E FRESADORA DE ASFÁLTO.
FUNÇÃO: SERVIÇOS OPERACIONAIS DE MÁQUINAS E EQUIPAMENTOS DE OBRAS.
CBO: 7214-10</t>
  </si>
  <si>
    <t>ENCARREGADO DE PRODUÇÃO</t>
  </si>
  <si>
    <t xml:space="preserve">
CARGO OU FUNÇÃO: ENCARREGADO DE PRODUÇÃO
CBO: 1424-15</t>
  </si>
  <si>
    <t>DESCRIÇÃO SINTÉTICA:
	Aplicar os conhecimentos de segurança e medicina do trabalho, de modo a reduzir e eliminar os riscos à saúde do trabalhador.
DESCRIÇÃO DETALHADA:
	Orientar e coordenar o sistema de segurança do trabalho, investigando riscos
E causas de acidentes e analisando esquemas de prevenção, para garantir a
Integridade dos colaboradores;
	Inspecionar locais, instalações e equipamentos coletivos e individuais, observando as condições de trabalho, para determinar fatores e riscos de acidentes;
	Estabelecer normas e dispositivos de segurança, sugerindo eventuais modificações nos equipamentos e instalações e verificando sua observância, para prevenir acidentes;
	Inspecionar os postos de combate a incêndios, examinando as mangueiras,
Hidrantes, extintores e equipamentos de proteção contra incêndios, para certificar-se de suas perfeitas condições de funcionamento;
	Comunicar os resultados de suas inspeções, elaborando relatórios, para propor a reparação ou renovação do equipamento de extinção de incêndios e outras medidas de segurança;
	Registrar acidentes ocorridos, examinando as condições da ocorrência, para
	Identificar suas causas e propor as providências cabíveis;
	Manter contato com os serviços médico e social da empresa ou de outra instituição,utilizando os meios de comunicação oficiais, para facilitar o atendimento necessário aos acidentados;
	Registrar irregularidades ocorridas, anotando-as em formulários próprios e elaborando estatísticas de acidentes, para obter subsídios destinados à melhoria das medidas de segurança;
	Buscar seu próprio desenvolvimento profissional;
	Instruir os funcionários da empresa sobre normas de segurança, combate a incêndios e demais medidas de prevenção de acidentes, ministrando palestras e treinamento,para que possam agir acertadamente em casos de emergência</t>
  </si>
  <si>
    <t>CARGO: TÉCNICO SEGURANÇA DO TRABALHO
FUNÇÃO: GESTÃO SMS E OUTROS. 
CBO: 351605</t>
  </si>
  <si>
    <t xml:space="preserve">(A) 1ª aquisição / (B) Gasto Normal / (C) Danos / (D) extraviados/ (E) Acidente
</t>
  </si>
  <si>
    <t>NR 35 - NR 35 - TRABALHO EM ALTURA</t>
  </si>
  <si>
    <t>Normas e regulamentos aplicáveis ao trabalho em altura;
Análise de Risco e condições impeditivas;
Riscos potenciais inerentes ao trabalho em altura e medidas de prevenção e controle;
Sistemas, equipamentos e procedimentos de proteção coletiva;
Equipamentos de Proteção Individual para trabalho em altura: seleção, inspeção, conservação e limitação de uso;
Acidentes típicos em trabalhos em altura;
 Condutas em situações de emergência, incluindo noções de técnicas de resgate e de primeiros socorros. Atividade pratica e atividade especifica (sistema de ancoragem, linha de vida)
Treinamento prático.'PRATICO: CINTO DE SEGURANÇA (SISTEMA DE ANCORAGEM E LINHA DE VIDA)</t>
  </si>
  <si>
    <t>participou do Curso de Formação Básico em Segurança em Trabalho em altura, em conformidade</t>
  </si>
  <si>
    <t xml:space="preserve">com a NR 35, no período de  </t>
  </si>
  <si>
    <t xml:space="preserve">  INSTRUTOR                                   </t>
  </si>
  <si>
    <t>Normas e regulamentos aplicáveis ao trabalho em altura;
Análise de Risco e condições impeditivas;
Riscos potenciais inerentes ao trabalho em altura e medidas de prevenção e controle;
Sistemas, equipamentos e procedimentos de proteção coletiva;
Equipamentos de Proteção Individual para trabalho em altura: seleção, inspeção, conservação e limitação de uso;
Acidentes típicos em trabalhos em altura;
 Condutas em situações de emergência, incluindo noções de técnicas de resgate e de primeiros socorros. Atividade pratica e atividade especifica (sistema de ancoragem, linha de vida)
Treinamento prático.</t>
  </si>
  <si>
    <t>PRATICO: CINTO DE SEGURANÇA (SISTEMA DE ANCORAGEM E LINHA DE VIDA) ANDAIMES E MONTAGEM DE ANDAIMES.</t>
  </si>
  <si>
    <t>ENGENHEIRO CIVIL</t>
  </si>
  <si>
    <t xml:space="preserve">CARGO: ASSISTENTE DE ENGENHARIA 
FUNÇÃO: ASSISTENTE DE ENGENHARIA
CBO:312105 </t>
  </si>
  <si>
    <t>CARGO: ENGENHEIRO CIVIL
FUNÇÃO:  ENGENHEIRO CIVIL
CBO:3214205</t>
  </si>
  <si>
    <t xml:space="preserve">DESCRIÇÃO SINTÉTICA:
	Elaborar, executar e dirigir projetos de engenharia civil.
DESCRIÇÃO DETALHADA:
	Elaborar projetos de engenharia relativos a estrutura de edificações, tráfegos, vias urbanas e obras de pavimentação, sistemas de água e esgoto, aproveitamento de
	Recursos naturais, serviços de equipamentos urbanos, rurais e regionais, entre outros;
	Estudar características, especificações e preparar plantas, orçamentos de custos,técnicas de execução e outros dados, para possibilitar e orientar a construção,manutenção e reparo das obras, dentro dos padrões técnicos exigidos;
	Efetuar vistorias, perícias, avaliação de imóveis, arbitramento, emitindo laudos e pareceres técnicos;
	Participar de planos gerais e específicos, que visem o posicionamento institucional frente à comunidade, no que tange a sua especialidade e formação;
	Realizar treinamento na área de atuação, quando solicitado;
	Atuar, na qualidade de instrutor de treinamentos e outros eventos de igual natureza,mediante participação prévia em processo de qualificação e autorização superior;
	Operar equipamentos e sistemas de informática e outros, quando autorizado e
	Necessário ao exercício das demais atividades;
	Dirigir veículos leves, mediante autorização prévia, quando necessário ao exercício das demais atividades;
</t>
  </si>
  <si>
    <t>ENC. ADMINISTRATIVO DE OBRAS</t>
  </si>
  <si>
    <t>Supervisionam rotinas administrativas em instituições públicas e privadas, chefiando di retamente equipe de escriturários, auxiliares administrativos, secretários de expediente,operadores de máquina de escritório e contínuos. coordenam serviços gerais de ma lotes, mensageiros, transporte, cartório, limpeza, terceirizados, manutenção de equipa mento, mobiliário, instalações etc; administram recursos humanos, bens patrimoniaise materiais de consumo; organizam documentos e correspondências; gerenciam equi pe. podem manter rotinas financeiras, controlando fundo fixo (pequeno caixa), verbas,contas a pagar, fluxo de caixa e conta bancária, emitindo e conferindo notas fiscais erecibos, prestando contas e recolhendo impostos.</t>
  </si>
  <si>
    <t>DESCRIÇÃO SINTÉTICA:
Atuar em atividades relativas à área de organização, coordenação 
e supervisão de área administrativa.
DESCRIÇÃO DETALHADA:	Tarefas de departamento pessoal para a gestão dos funcionários
•	Compra de materiais
•	Controles financeiros
•	Crédito e cobrança
•	Conciliação bancária
•	Lançamentos contábeis
•	Elaboração de relatórios gerenciais
•	Realização de reuniões
•	Tomada de decisões baseadas em dados e análises
•	Elaboração de planilhas de controle
•	Análise de indicadores
•	Acompanhamento das atividades realizadas pela equipe
•	Elaboração de O.S. (Ordem de Serviço).
•	Organização de documentos</t>
  </si>
  <si>
    <t>CARGO: ENCARREGADO ADMINISTRATIVO-CBO-410105</t>
  </si>
  <si>
    <t>LABORATÓRISTA</t>
  </si>
  <si>
    <t>O trabalho é exercido em indústrias de extração de petróleo e gás natural, de fabri cação de produtos químicos, de metal, têxteis e na construção. os profissionais sãoassalariados com carteira assinada. trabalham de forma individual, sob supervisãopermanente, exceto o técnico químico em petróleo que é ocasional. os profissionaistrabalham em ambiente fechado e a céu aberto. o técnico de laboratório de análisesfísico-químicas (materiais de construção) e o técnico químico em petróleo podem tra balhar em veículos. o horário de trabalho pode ser de turno fixo diurno ou noturnoou, ainda, no regime de rodízio. em suas atividades, os trabalhadores ficam expostos amateriais tóxicos e inflamáveis; o técnico de laboratório indústrial também fica expostoa altas temperaturas. trabalho subterrâneo e ruído intenso fazem parte das atividadesdo técnico de laboratório de análises físico-químicas (materiais de construção), assimcomo trabalhar em grandes alturas faz parte das atividades do técnico.</t>
  </si>
  <si>
    <t>CARGO: LABORATORISTA-CBO-301110</t>
  </si>
  <si>
    <t>Planejam o trabalho de apoio do laboratório e preparam vidrarias e materiais similares. Preparam soluções e equipamentos de medição e ensaios e analisam amostras de insumos e matérias-primas.Executam ensaios físicos, químicos, metalográficos e biológicos. garantem a calibraçãodos equipamentos e realizam amostragem de materiais. trabalham segundo normasde segurança, saúde e meio ambiente. controlam a qualidade. participam do sistemada qualidade da empresa e no desenvolvimento de novos produtos e fornecedores.colaboram no desenvolvimento de metodologias de análises.</t>
  </si>
  <si>
    <t>ENCARREGADO DE  PAVIMENTAÇÃO</t>
  </si>
  <si>
    <t>Supervisão das equipes dentro dos canteiros de obras, aplicando práticas ambientais pertinentes, Supervisionam equipes de trabalhadores da pavimentação asfálticas, Controle dos recursos produtivos da obra (arranjos físicos, equipamentos, materiais, insumos).e equipes de trabalho), conciliando com práticas ambientais, Inspeção da qualidade dos materiais e insumos e orientação sobre especificação, utilização e manejo ambientalmente correto, Coordenação do fluxo de movimentação dos materiais e equipamentos, Controle das normas de segurança, higiene e proteção ao meio ambiente, Administração do cronograma da obra, Aplicação de práticas ambientais visando o consumo racional de recursos, Condenar os trabalhos de pavimentação asfáltica.</t>
  </si>
  <si>
    <t>DESCRIÇÃO SINTÉTICA:
Atuar em atividades relativas à área de organização, coordenação 
e supervisão de construção civil e pavimentação.
DESCRIÇÃO DETALHADA:
Organizar, coordenar e supervisionar grupos de trabalhadores que desenvolvem suas atribuições na área da construção civil e pavimentação, infraestrutura e pavimentação;
Garantir o desenvolvimento do processo de execução das obras dentro dos
Prazos e normas estabelecidas;
Providenciar que as pessoas sob o seu comando utilizem equipamentos de
Proteção individual (EPI), de acordo com as normas de segurança em vigor;
Empenhar-se em buscar seu próprio desenvolvimento profissional;
Buscar o desenvolvimento pessoal e profissional das pessoas que atuam sob seu comando;
Acompanhar a evolução profissional das pessoas sob seu comando;
Manter ou desenvolver visando o desempenho apropriado de suas funções,
Atuar na qualidade de instrutor de treinamentos e outros eventos de igual
Natureza, mediante participação prévia em processo de qualificação e
Autorização superior;
Dirigir veículos leves, mediante autorização prévia, quando necessário ao
Exercício das demais atividades;
Manter organizados, limpos e conservados os materiais, máquinas,
Equipamentos e local de trabalho, que estão sob sua responsabilidade</t>
  </si>
  <si>
    <t>CARGO: ENCARREGADO DE PAVIMENTAÇÃO
FUNÇÃO: ENCARREGADO DE PAVIMENTAÇÃO
CBO: 715140</t>
  </si>
  <si>
    <t>715140-M</t>
  </si>
  <si>
    <t>715140-E</t>
  </si>
  <si>
    <t>CARGO: ENCARREGADO DE OBRAS
FUNÇÃO:ENCARREGADO DE OBRAS
CBO: 7102-05</t>
  </si>
  <si>
    <t xml:space="preserve">MOTORISTA </t>
  </si>
  <si>
    <t>AUXILIAR  ADMINISTRATIVO DE OBRAS</t>
  </si>
  <si>
    <t>Executam serviços de apoio nas áreas de recursos humanos, administração, finançase logística; atendem fornecedores e clientes, fornecendo e recebendo informaçõessobre produtos e serviços; tratam de documentos variados, cumprindo todo o pro cedimento necessário referente aos mesmos. atuam na concessão de microcréditoa microempresários, atendendo clientes em campo e nas agências, prospectandoclientes nas comunidades.</t>
  </si>
  <si>
    <t>DESCRIÇÃO SINTÉTICA:
Auxilia  em atividades relativas à área de organização, auxiliar ne área administrativa.
DESCRIÇÃO DETALHADA:	Tarefas de departamento pessoal para a gestão dos funcionários
•	Compra de materiais
•	Controles financeiros
•	Crédito e cobrança
•	Conciliação bancária
•	Lançamentos contábeis
•	Elaboração de relatórios gerenciais
•	Realização de reuniões
•	Tomada de decisões baseadas em dados e análises
•	Elaboração de planilhas de controle
•	Análise de indicadores
•	Acompanhamento das atividades realizadas pela equipe
•	Elaboração de O.S. (Ordem de Serviço).
•	Organização de documentos</t>
  </si>
  <si>
    <t>CARGO: AUXILIA  ADMINISTRATIVO DE OBRAS-CBO-411010</t>
  </si>
  <si>
    <t>ESCRIÇÃO SINTÉTICA:
Atuar em atividades relativas à área, auxiliando nos serviços topograficos.
DESCRIÇÃO DETALHADA:	
. Analisar documentos e informações cartográficas, interpretando fotos terrestres, fotos aéreas, imagens orbitais, cartas, mapas, plantas, identificando acidentes geométricos e pontos de apoio para georeferenciamento e amarração, coletando dados geométricos;
.   Efetuar cálculos e desenhos;
Elaborar documentos cartográficos, definindo escalas e cálculos cartográficos, efetuando aerotriangulação, restituindo fotografias aéreas.
•	Executam levantamentos geodésicos e topohidrográficos, por meio de levantamentos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georreferenciamento e amarração, coletando dados geométricos. efetuam cálculos e desenhos e elaboram documentos cartográfico
•	Exercer tarefas de topografia, procedendo ao levantamento, anotação e cálculo de dados da área a ser demarcada bom como efetuar o desenho da área. Zelar pela limpeza e conservação da aparelhagem topográfica. Auxiliar nas atividades de ensino, pesquisa e extensão.</t>
  </si>
  <si>
    <t>CARGO: AUXILIAR TOPOGRAFO 
FUNÇÃO: SERVIÇOS DE TOPOGRAFIA</t>
  </si>
  <si>
    <t xml:space="preserve"> TOPOGRAFO</t>
  </si>
  <si>
    <t>CARGO: TOPOGRAFO 
FUNÇÃO: SERVIÇOS DE TOPOGRAFIA</t>
  </si>
  <si>
    <t>312320-G</t>
  </si>
  <si>
    <t xml:space="preserve"> AUXILIAR TÉC SEG DO TRABALHO</t>
  </si>
  <si>
    <t>CARGO: AULIAR TÉCNICO SEGURANÇA DO TRABALHO
FUNÇÃO: GESTÃO SMS E OUTROS. 
CBO: 351605</t>
  </si>
  <si>
    <t>Elabora e participam da elaboração e implementam política de saúde e segurança do trabalho; realizam diagnóstico da situação de SST da instituição; identificam variáveis de controle de doenças, acidentes, qualidade de vida e meio ambiente. Desenvolvem ações educativas na área de saúde e segurança do trabalho; integram processos de negociação. Participam da adoção de tecnologias e processos de trabalho; investigam, analisam acidentes de trabalho e recomendam medidas de prevenção e controle.</t>
  </si>
  <si>
    <t>Eletricista de veículos de máquinas</t>
  </si>
  <si>
    <t xml:space="preserve">Planejam serviços de instalação e manutenção eletroeletrônicos em veículos, estabe lecendo cronogramas e estimando prazos. instalam sistemas e componentes eletroe letrônicos em aeronaves, embarcações e veículos, elaborando leiautes e esquemas, in terpretando e corrigindo esquemas, conectando cabos aos equipamentos e acessóriose testando o funcionamento de máquinas, equipamentos e sistemas para operação.realizam manutenções preventiva, preditiva e corretiva, </t>
  </si>
  <si>
    <t>Planeja serviços de elétricas de automoveis.
Executa manuteção preventivas componetes eletricos,  :inspecionando visualmentemáquinas e equipamentos, diagnosticando defeitos eletroeletrônicos, desmontando,reparando, lubrificando, substituindo e montando componentes, ajustando componen tes e peças e simulando o funcionamento de componentes e equipamentos. elaboramdocumentação técnica, cumprem normas de segurança, meio ambiente e saúde e rea lizam com qualidade as instalações eletroeletrônicas.DESCRIÇÃO DE ATIVIDADES TÍPICAS DO CARGO
• reparação de aparelhos elétricos.
• Montagem de instalações elétricas de residências, fábricas e outros estabelecimentos,   e   de   embarcações,   aviões,   automóveis   e   outros   veículos automotores.
• Instalação e manutenção de redes elétricas.
• Transportar equipamentos e ferramentas necessários à execução dos trabalhos.
• Executar outras tarefas de mesma natureza e nível de complexidade associadas ao ambiente organizacional.</t>
  </si>
  <si>
    <t xml:space="preserve">MECÂNICO </t>
  </si>
  <si>
    <t>CARGO: MECÂNICO 
FUNÇÃO:  MECÂNICO 
CBO: 913120</t>
  </si>
  <si>
    <t xml:space="preserve">AUXILIAR DE MECÂNICO </t>
  </si>
  <si>
    <t xml:space="preserve"> Realiza instalações provisórias nas frentes de serviço, Realiza revisões dos cabos e ligações elétricas emmáquinas e equipamentos, Executa verificação de painéis elétricos nos canteiros, Executa pequenas manutenções em ferramentas elétricas, Revisa os sistemas de iluminação e distribuição de energia nos canteiros, Realiza serviços de aterramento em diversos serviços, Testa e identifica redes e quadros.</t>
  </si>
  <si>
    <t xml:space="preserve">PLANEJAR SERVIÇOS ELÉTRICOS
REALIZAR INSTALAÇÃO DE DISTRIBUIÇÃO DE ALTA E BAIXA TENSÃO
REALIZAR INSTALAÇÕES ELÉTRICAS PREDIAIS
FAZER INSTALAÇÃO INDUSTRIAL
EFETUAR SERVIÇOS COMERCIAIS DE ALTA E BAIXA TENSÃO 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
EXECUTAR SERVIÇOS DE MANUTENÇÃO PREVENTIVA </t>
  </si>
  <si>
    <t>DESCRIÇÃO SINTÉTICA:
	Atuar em atividades de auxílio relativas à área de montagem, desmontagem, reparo e manutenção de veículos.
DESCRIÇÃO DETALHADA:
	Auxiliar no concerto, montagem e desmontagem, observando catálogos e manuais de peças e manutenção, interpretando descrições técnicas dos referidos catálogos e manuais dos equipamentos, máquinas e veículos;
	Auxiliar na execução de serviços de manutenção mecânica corretiva e preventiva em veículos leves, pesados, máquinas, motores e equipamentos;
	Auxiliar no reparo de defeitos, substituindo peças, fazendo ajustes, regulagens e lubrificação, segundo orientações;
	Auxiliar no desmonte, limpeza e a montagem do motor, órgãos de transmissão,
diferencial e outras partes;
	Auxiliar no recondicionamento do equipamento elétrico, o alinhamento da direção e regulagem dos faróis do veículo;
	Auxiliar o mecânico a retirar forros, cintos, revestimentos e carpete e providenciar seu reparo ou manutenção.
	Auxiliar o mecânico com peças, ferramentas e mão-de-obra necessária.
	Utilizar a carga horária de lhe é pertinente com dedicação, zelo e responsabilidade;
	Utilizar a carga horária atribuída ao seu emprego, tão somente a serviço da empresa;
	Zelar pela limpeza, conservação e manutenção dos aparelhos, ferramentas e ambiente de trabalho.
	Dirigir veículos leves, mediante autorização prévia, quando necessário ao exercício das demais atividades.
	Manter organizados, limpos e conservados os materiais;
	local de trabalho, que estão sob sua responsabilidade.Auxilia na lubrificar máquinas e componentes; Ajustar, trocar, reparar e consertar componentes e partes da máquina; Montar e desmontar máquinas e equipamentos; Realizar inspeções e medições periódicas (manutenção preventiva);Executa processos de manutenção mecânica de máquinas industriais, desmontando, montando, recuperando ou substituindo peças e máquinas, respeitando procedimentos e normas técnicas de qualidade, segurança, meio ambiente e saúde.especializado em agricultura, mineração ou material rodante pesado: escavadeiras, retroescavadeiras, rolo compactador, moto niveladora e  tratores, etc. uma das funções do mecânico de máquinas pesadas é planejar, supervisionar e participar dos trabalhos de manutenção corretiva e preventiva.</t>
  </si>
  <si>
    <t>DESCRIÇÃO SINTÉTICA:
	Atuar em atividades relativas à área de montagem, desmontagem, reparo e
manutenção de máquinas pesadas.
DESCRIÇÃO DETALHADA:
	Examinar a máquina ou equipamentos inspecionando-os para determinar os defeitos e anormalidades do funcionamento;
	Orientar e executar serviços de manutenção mecânica corretiva e preventiva em veículos pesados, máquinas, motores e equipamentos;
	Reparar defeitos, substituindo peças, fazendo ajustes, regulagens e lubrificação,segundo orientações;
	Fazer o desmonte, limpeza e a montagem do motor, órgãos de transmissão,
diferencial e outras partes;
	Providenciar o recondicionamento do equipamento elétrico, o alinhamento da direção e regulagem dos faróis do veículo;
	Retirar forros, cintos, revestimentos e carpete e providenciar seu reparo ou
manutenção;
	Efetuar ajustes, reparos, reformas e manutenções em geral em equipamentos
	Diversos, interpretando manuais e normas técnicas;
	Realizar diagnósticos técnicos e realizar serviços corretivos e de manutenção, peças,ferramentas e mão-de-obra necessária;
	Identificar e prescrever necessidades de serviços de terceiros, mediante relatório escrito e assinado, encaminhado a chefia imediata;
	Utilizar a carga horária de lhe é pertinente com dedicação, zelo, responsabilidade e tão somente a serviço da empresa;
	Realizar treinamento na área de atuação, quando solicitado;
	Zelar pela limpeza, conservação e manutenção dos aparelhos, ferramentas e
ambiente de trabalho;Lubrificar máquinas e componentes; Ajustar, trocar, reparar e consertar componentes e partes da máquina; Montar e desmontar máquinas e equipamentos; Realizar inspeções e medições periódicas (manutenção preventiva);Executa processos de manutenção mecânica de máquinas industriais, desmontando, montando, recuperando ou substituindo peças e máquinas, respeitando procedimentos e normas técnicas de qualidade, segurança, meio ambiente e saúde.especializado em agricultura, mineração ou material rodante pesado: escavadeiras, retroescavadeiras, rolo compactador, moto niveladora e  tratores, etc. uma das funções do mecânico de máquinas pesadas é planejar, supervisionar e participar dos trabalhos de manutenção corretiva e preventiva.</t>
  </si>
  <si>
    <t>MOTORISTA LUBRIFICADOR</t>
  </si>
  <si>
    <t>Lubrificam máquinas e equipamentos, sinalizando pontos de lubrificação, interpretan do desenhos de máquinas, avaliando a situação de máquinas e equipamentos, sele cionando material de limpeza e ferramentas para lubrificação, retirando excessos delubrificantes, liberando máquinas e equipamentos lubrificados e preenchendo relató rios e registros de ocorrências. monitoram o desempenho de máquinas e equipamentos,realizando inspeções preventivas, identificando anomalias, solicitando manutenções,verificando a ocorrência de impurezas em lubrificantes e retirando amostras para análi ses. colaboram na elaboração de planos de lubrificação. conservam ferramentas e ma teriais para lubrificação. trabalham seguindo normas de segurança, higiene, qualidadee proteção ao meio ambiente.</t>
  </si>
  <si>
    <t>FISICO: RUIDO,  RADIAÇÃO NÃO IONIZANTE,CALOR.
QUIMICO: ÓLEOS E GRAXAS, POEIRA DE OBRA E SOLVENTES.
ERGONOMICO: POSTURA INADEQUADA
ACIDENTE: QUEDA DE MESMO NIVEL, ACINDENTES DE TRANSITO, PPROJEÇÃO DE PARTICULAS E BATIDAS CONTRA.</t>
  </si>
  <si>
    <t>DESCRIÇÃO SINTÉTICA:
	Lubrifica e abastece máquinas e equipamentos, selecionando o material de limpeza e ferramentas necessários. Realiza inspeções preventivas, preenche relatórios e registros de ocorrências.
DESCRIÇÃO DETALHADA:
	Abastece maquinas e veiculos com diesel.
	Lubrificar maquinas, veiculos e equipamentos.
	Usar de equipamentos de lubrificação adequado para cada tipo de lubrificante. Manter sistema de identificação que permita usar o equipamento adequado x lubrificante x plano de lubrificação. Manter as FISPQs e Fichas de Emergência sempre próximas a cada lubrificante estocado caso necessite em situações de emergências.</t>
  </si>
  <si>
    <t>CARGO: MOTORISTA LUBRIFICADOR
FUNÇÃO:  MOTORISTA LUBRIFICADOR
CBO: 919110</t>
  </si>
  <si>
    <t>CARGO: ELETRICISTA DE AUTOMOVEIS 
FUNÇÃO: ELETRICISTA AUTOMOVEIS 
CBO: 913115</t>
  </si>
  <si>
    <t>CARGO: AUXILIAR DE MECÂNICO 
FUNÇÃO:  AUXILIAR DE MECÂNICO 
CBO: 913120</t>
  </si>
  <si>
    <t>ALMOXARIFE</t>
  </si>
  <si>
    <t xml:space="preserve">DESCRIÇÃO SINTÉTICA:
Organizar e manter o almoxarifado, executar recebimento, estocagem, distribuição, registro e inventário de matérias-primas e mercadorias adquiridas e confeccionadas.
DESCRIÇÃO DETALHADA:Realiza o recebimento, movimentação e estocagem de matérias-primas e produtos. Recebe e confere as notas fiscais de entrada dos materiais adquiridos, verifica quantidade, descrição e as condições gerais dos materiais e embalagens	</t>
  </si>
  <si>
    <t>CARGO: ALMOXARIFE-CBO-410105</t>
  </si>
  <si>
    <t>OFICINA ALMOXARIFADO</t>
  </si>
  <si>
    <t xml:space="preserve">OFICINA </t>
  </si>
  <si>
    <t>312105-M</t>
  </si>
  <si>
    <t>312105-E</t>
  </si>
  <si>
    <t>ASSIST. TEC. DE ENGENHARIA</t>
  </si>
  <si>
    <t xml:space="preserve">CARGO: ASS. TECNICO DE  ENGENHARIA
FUNÇÃO: ASSISTENTE TÉCNICO DE ENGENHARIA
CBO: 312105
</t>
  </si>
  <si>
    <t>APONTADOR DE OBRA</t>
  </si>
  <si>
    <t>DESCRIÇÃO SINTÉTICA:
APONATDOR DE OBRA.
DESCRIÇÃO DETALHADA:	Apontam a produção e controlam a frequência de mão-de-obra. acompanham atividades de produção, conferem cargas e verificam documentação. preenchem relatórios, guias, boletins, plano de carga e recibos. controlam movimentação de carga e descarga nos portos, terminais portuários e embarcações. podem liderar equipes de trabalhoTarefas de departamento pessoal para a gestão dos funcionários
O anotador de mão de obra da construção civil trabalha para processar o tipo de mão de obra e outras tarefas executadas pelos operários em um canteiro de obras. Ele pode coletar dados de várias fontes, como planos de projeto, filmagens e fotografias.
Além disso, ele também anota informações relacionadas a alimentação dos funcionários, transporte e vestuário ideal para trabalhar no canteiro de obras. Vale ressaltar que ele trabalha fazendo uma espécie de ponte entre o canteiro e a parte administrativa da empresa.</t>
  </si>
  <si>
    <t>Apontam a produção e controlam a frequência de mão-de-obra. acompanham atividades de produção, conferem cargas e verificam documentação. preenchem relatórios, guias, boletins, plano de carga e recibos. controlam movimentação de carga e descarga nos portos, terminais portuários e embarcações. podem liderar equipes de trabalho</t>
  </si>
  <si>
    <t>LIDER DE LUBRIFICAÇÃO</t>
  </si>
  <si>
    <t>Lidera equipe que lubrifica as partes móveis de motores fixos, máquinas operatrizes e equipamentos auxiliares de produção, seguindo programa estabelecido e processos manuais e mecânicos, para evitar desgastes excessivos e garantir o melhor rendimento dos equipamentos e maquinas</t>
  </si>
  <si>
    <t>DESCRIÇÃO SINTÉTICA:
	Lubrifica e abastece máquinas e equipamentos, selecionando o material de limpeza e ferramentas necessários. Realiza inspeções preventivas, preenche relatórios e registros de ocorrências.
DESCRIÇÃO DETALHADA:
	Abastece maquinas e veiculos com diesel.
	Lubrificar maquinas, veiculos e equipamentos.
	Usar de equipamentos de lubrificação adequado para cada tipo de lubrificante. Manter sistema de identificação que permita usar o equipamento adequado x lubrificante x plano de lubrificação. Manter as FISPQs e Fichas de Emergência sempre próximas a cada lubrificante estocado caso necessite em situações de emergências.verifica o nível do óleo ou graxa, examinando depósitos e consultando manuais de lubrificação e outras instruções, para providenciar o atendimento às necessidades operacionais; prepara almotolias e bombas de lubrificação, enchendo-as com produto apropriado, para efetuar a operação programada; desmonta peças essenciais do equipamento, seguindo diagramas e manuais técnicos e utilizando ferramentas manuais e outros dispositivos, para verificar suas condições e efetuar a manutenção preventiva; aplica o lubrificante nos pontos indicados, seguindo as especificações ou seus conhecimentos técnicos, para conservar a máquina e melhorar seu desempenho; verifica o funcionamento das partes da máquina lubrificada, pondo-a a trabalhar experimentalmente, para certificar-se da eficácia da lubrificação efetuada; mantém em bom estado os filtros, tubulações e outras partes, reparando-as ou substituindo-as, se necessário, para assegurar seu funcionamento normal. Pode comunicar defeitos mecânicos encontrados, anormalidades observadas durante a lubrificação, fornecendo registros ou por outros meios, para facilitar a manutenção corretiva da máquina. Pode efetuar regulagens e pequenos reparos no equipamento de lubrificação</t>
  </si>
  <si>
    <t>CARGO: LIDER DE  LUBRIFICADOR
FUNÇÃO:  LIDER DE  LUBRIFICADOR
CBO: 919110  L</t>
  </si>
  <si>
    <t>MANGUERISTA</t>
  </si>
  <si>
    <t>Responsável fazer a aplicação de ligante betuminoso sobre a superfície da base da pavimentação através de uma mangueira com bico de aço através de caminhão espagidor.</t>
  </si>
  <si>
    <t xml:space="preserve">DESCRIÇÃO DETALHADA:
	Executar trabalhos auxiliares, sob supervisão;
	Resposavel em aplicação de ligante betuminoso sobre a superfície da base da pavimentação,através de uma mangueira com bico de aço;
	Responsavel pelo aquecimento do material;
	Acompanhamento do consumo do material;
	Responsavel por verificar o motor da bomba do equipamento;
	Avisar ao seu superior quando detectar irregularidades;
	Vistoriar mangueira,óleo,combustível e agua;
	Manter organizados, limpos e conservados os materiais, máquinas, equipamentos e local de trabalho, que estão sob sua responsabilidade;
	Responsável pela manutenção e limpeza do equipamento;
	Responsavel pela integridade do equipamento e acessórios:mangueiras,bicos espagidores etc...
</t>
  </si>
  <si>
    <t>CARGO: MANGUERISTA 
FUNÇÃO: MANGUERISTA .
CBO: 7157-05</t>
  </si>
  <si>
    <t>CREME LUVEX PARA PELE</t>
  </si>
  <si>
    <t>Realiza cálculo de material a ser usado em terraplanagem, orienta e acompanha trabalho de corte e aterro, nivelamento e compactação de pistas e verifica estacas e marcações.</t>
  </si>
  <si>
    <t xml:space="preserve"> Executam levantamentos geodésicos e topohidrográficos, por meio de levantamentos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georeferenciamento e amarração, coletando dados geométricos. Efetuam cálculos e desenhos e elaboram documentos cartográficos, definindo escalas e cálculos cartográficos, efetuando aerotriangulação, restituindo fotografias aéreas.
</t>
  </si>
  <si>
    <t>Treinamento para as máquinas: ROLO COMPACTADOR, ROLO CHAPA E PNEU, BOBCAT, ROLO PATA DE CARNEIRO, FRESADORA DE ASFALTICO, ESCAVADEIRA HIDRÁULICA RETROESCAVADEIRA E MOTONIVELADORA (PATROL).</t>
  </si>
  <si>
    <t>Analista de planejamento de manutenção.</t>
  </si>
  <si>
    <t>DESCRIÇÃO SINTÉTICA:
	Analista de planejamento de manutenção.
DESCRIÇÃO DETALHADA:
(planejar manutenção de máquinas e equipamentos): analisar capacidade de manutenção; elaborar cronograma de manutenção; emitir ordem de serviço; participar de grupos multidisciplinares para tomadas de decisões; planejar custos de manutenção; programar manutenção preventiva, preditiva e corretiva; quantificar demanda de manutenção por período;
tratar informações): atualizar as informações; disponibilizar informações; elaborar gráficos e relatórios de controles; interagir com clientes e/ou fornecedores; registrar não conformidades;
(trabalhar com segurança): cumprir normas e procedimentos da empresa; cumprir os procedimentos dos manuais dos fabricantes; cumprir requisitos dos orgãos reguladores; usar epi.</t>
  </si>
  <si>
    <t xml:space="preserve">CARGO: Analista de planejamento de manutenção 
FUNÇÃO: Analista de planejamento de manutenção
CBO:391145 </t>
  </si>
  <si>
    <t xml:space="preserve">(Controlar produção e/ou manutenção): Coletar dados da produção e/ou da manutenção; controlar custos de manutenção; definir ações corretivas; estabelecer parâmetros de controle; identificar desvios no processo de produção e/ou de manutenção; monitorar fluxo de produção e/ou de manutenção; propor melhorias no processo de produção e/ou de manutenção;
.
</t>
  </si>
  <si>
    <t>BORRACHEIRO</t>
  </si>
  <si>
    <t>Realizam manutenção de equipamentos, montagem e desmontagem de pneu e alinha mento. controlam vida útil e utilização do pneu. trocam e ressulcam pneus. consertampneus a frio e a quente, reparam câmara de ar e balanceiam conjunto de roda e pneu.prestam socorro a veículos e lavam chassi e peças. trabalham seguindo normas desegurança, higiene, qualidade e proteção ao meio ambiente.</t>
  </si>
  <si>
    <t>DESCRIÇÃO SINTÉTICA:
	Atuar em atividades relativas à área de trocas e colagem de pneus, desmontagem, reparo e
manutenção nos pneus de máquinas pesadas.
DESCRIÇÃO DETALHADA:
	Fiscalização da vida útil dos pneus com sugestões de recapagens, calibragem e outros assemelhados; prestar socorro a frota municipal; transportar o equipamento necessário para a atividade; zelar pela limpeza e pela manutenção, incluindo a necessária lubrificação, dos veículos e equipamentos da pesados.Além dos serviços de conserto e troca de pneus avariados, uma borracharia também pode oferecer serviços de alinhamento de direção, balanceamento de rodas, venda de pneus novos e/ou recauchutados e de câmaras de ar.</t>
  </si>
  <si>
    <t>CARGO: BORRACHEIRO 
FUNÇÃO:  BORRACHEIRO 
CBO: 992115</t>
  </si>
  <si>
    <t>FISICO: RUIDO, RADIAÇÃO NÃO IONIZANTES.
QUÍMICO: POEIRAS DE OBRA 
ERGONOMICO: POSTURA INADEQUADA.
ACIDENTE: ACIDENTES DE TRANSITO (COLISÕES E ATROPELAMENTOS), BATIDAS CONTRA, PROJEÇÃO DE PARTICULAS, QUEDA DE MESMO NÍVEL.</t>
  </si>
  <si>
    <t>Dirigir e manobrar veículos e transportar pessoas, valores e outros compatíveis com a categoria da CNH,Providenciar para que sejam executadas as manutenções programadas do veículo.</t>
  </si>
  <si>
    <t xml:space="preserve">Preparar formas de madeira, colocando ferragens no interior das mesmas, baseando-se nas especificações ouinstruções recebidas, cortando, curvando e unindo vergalhões com a ajuda de ferramentas manuais, máquinas e outros utensílios, sob orientação do seu superior. </t>
  </si>
  <si>
    <t>Realiza medições de obras, de acordo com dados levantados na topografia, para determinar quantidades e custos de materiais, mão de obra, equipamento e serviços necessários.</t>
  </si>
  <si>
    <t>Auxilia na construção, montagem e transporte, das formas e caixaria de madeira para a estrutura (vigas, colunas, sapatas, pilares) dos edifícios e obras similares, utilizando processos e ferramentas manuais e mecânicas, para compor tesouras, armações de telhado, andaimes e outros materiais afins, Executa trabalhos de carpintaria, com, desbaste e armação de portas, janelas, caixilhos e outros em esquadrias de madeira, Executa trabalhos em madeira, com base em desenhos, croquis ou ordens de serviços, montagens, reparos ou modificações em estrutura de alvenaria, portas, divisórias, engradados, etc, Efetua levantamento dos materiais necessários, selecionando e preparando os mesmos de acordo com os trabalhos a serem realizados. Operam máquinas, ferramentas e/ou instrumentos, a fim de lixar, cortar, plainar, montar.</t>
  </si>
  <si>
    <t>Realiza faxina nos escritórios e canteiro da obra, recolhe os lixos armazena em locais adequado.</t>
  </si>
  <si>
    <t>CARGO: ESCAVADEIRAS HIDRÁULICAS, FRESADORA DE ASFÁLTO MOTO NIVELADORA, TRATOR DE ESTEIRA, TRATOR D6 E D8, OPERADOR DE FRESADEIRA, RETRO ESCAVAEIRAS E ROLO COMPACTADOR
FUNÇÃO: SERVIÇOS OPERACIONAIS DE MÁQUINAS E EQUIPAMENTOS DE OBRAS.
CBO: 7151-10</t>
  </si>
  <si>
    <t>Executa tarefa de demolição de estrutura de alvenaria, quebra de pisos e bases de concreto, construção e reparos em edificações de alvenaria, executa escavações, escoramento de valas e recomposição de pisos, Executa paredes em alvenarias, Construções de caixas e meios fios e etc.</t>
  </si>
  <si>
    <t>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controle.treinamento e conscientização em assuntos pertinentes a SMS para as equipes do empreendimento conforme requerido. Elaborar e aplicar treinamentos voltados para segurança do trabalho, com vistas a garantir a integridade física e mental dos colaboradores. Acompanhar ar obras, prestando devido suporte com a finalidade de atender as exigências da fiscalização da contratante. Realizar medição e inspeção comportamental e de equipamentos.</t>
  </si>
  <si>
    <t>SUPERVISÃO</t>
  </si>
  <si>
    <t>Responsável pelo controle do estoque, conferência de mercadorias e expedição. Trabalha em armazéns, silos e depósitos, fazendo os registros de entrada e saída dos itens de estoque. Colaboram na organização da movimentação dos itens armazenados.</t>
  </si>
  <si>
    <t>FISICO: RUÌDO.
ERGONOMICO: POSTURA INADEQUADA
ACIDENTE: BATIDA CONTRA, QUEDA DE MESMO NIVEL, .</t>
  </si>
  <si>
    <t>715315 (A)</t>
  </si>
  <si>
    <t>715210-(A)</t>
  </si>
  <si>
    <t xml:space="preserve"> Realiza instalações provisórias nas frentes de serviço, Realiza revisões dos cabos e ligações elétricas em máquinas e equipamentos, Executa verificação de painéis elétricos nos canteiros, Executa pequenas manutenções em ferramentas elétricas, Revisa os sistemas de iluminação e distribuição de energia nos canteiros, Realiza serviços de aterramento em diversos serviços, Testa e identifica redes e quadros.</t>
  </si>
  <si>
    <t>AUXILIAR DE ELETRICISTA</t>
  </si>
  <si>
    <t>OPERACIONAL</t>
  </si>
  <si>
    <t>CARGO: ENCARREGADO GERAL
FUNÇÃO: ENCARREGADO GERAL
CBO: 123105</t>
  </si>
  <si>
    <t>CONTROLE DE SERV.DE MAQUINAS E VEICULOS</t>
  </si>
  <si>
    <t>FISICO: RUIDO,  RADIAÇÃO NÃO IONIZANTE.
ERGONOMICO: POSTURA INADEQUADA
ACIDENTE: QUEDA DE MESMO NIVEL, ACINDENTES DE TRANSITO, PPROJEÇÃO DE PARTICULAS E BATIDAS CONTRA.</t>
  </si>
  <si>
    <t>DESCRIÇÃO SINTÉTICA:
Trabalham em empresas de PAVIMENTAÇÃO ASFALTICAS  e serviços correlatos; de fabricação deprodutos têxteis, metalurgia básica, fabricação de máquinas e equipamentos, fabrica ção e montagem de veículos automotores, reboques e carrocerias, entre outras. são as salariados, com carteira assinada. atuam em equipe multidisciplinar, sob supervisão ocasional; em ambientes fechados; de forma presencial; em turnosde trabalho, com disponibilidade para atuar em horários irregulares, para atendimentoa situações imprevistas e de emergência. no desenvolvimento de algumas atividades,podem permanecer em posições desconfortáveis durante períodos e, ainda, podemestar expostos a ruído intenso e trabalhar sob pressão, podendo ocasionar estresse.Trabalham em empresas de transportes intermodais, predominantemente em empresasde transporte aéreo, aquaviário e terrestre. os profissionais do transporte multimodalpodem trabalhar de forma presencial e a distância, por rodízio de turnos. geralmente,trabalham em equipe multidisciplinar, sob supervisão ocasional. para essas ocupaçõespredomina o trabalho assalariado, com carteira assinada. eventualmente, desempe nham atividades que podem levar ao estresse constante.</t>
  </si>
  <si>
    <t>CARGO: Controle de serviços de maquinas e veículos
FUNÇÃO:  Controle de serviços de maquinas e veículos
CBO: 342115</t>
  </si>
  <si>
    <t>Controlam, programam e coordenam operações de transportes em geral; acompanhamas operações de embarque, transbordo e desembarque de carga. verificam as condi ções de segurança dos meios de transportes e equipamentos utilizados, como também,da própria carga. supervisionam armazenamento e transporte de carga e eficiência operacional de equipamentos e veículos. controlam recursos financeiros e insumos,elaboram documentação necessária ao desembargo de cargas e atendem clientes. pesquisam preços de serviços de transporte, identificam e programam rotas e informamsobre condições do transporte e da carga.</t>
  </si>
  <si>
    <t>FISICO: RUIDO, RADIAÇÃO NÃO IONIZANTES. 
ERGONOMICO: POSTURA INADEQUADA.
ACIDENTE: ATROPELAMENTO, BATIDAS CONTRA, PROJEÇÃO DE PARTICULAS, QUEDA DE MESMO NÍVEL.</t>
  </si>
  <si>
    <t>FISICO: RUIDO, RADIAÇÃO NÃO IONIZANTES E VIBRAÇÕES.
QUÍMICO: POEIRAS DE OBRA 
ERGONOMICO: POSTURA INADEQUADA.
ACIDENTE: ATROPELAMENTOS, BATIDAS CONTRA.</t>
  </si>
  <si>
    <t>AJUDANTE DE OBRAS (TRABALHO EM ALTURA)</t>
  </si>
  <si>
    <t>717020-A</t>
  </si>
  <si>
    <t>FISICO: RUIDO,  RADIAÇÃO NÃO IONIZANTE.
QUIMICO: ÓLEOS E GRAXAS, POEIRA DE OBRA E SOLVENTES.
ERGONOMICO: POSTURA INADEQUADA
ACIDENTE: QUEDA DE MESMO NIVEL, ATROPELAMENTO,  BATIDAS CONTRA E QUEDA DE MATERIAL.</t>
  </si>
  <si>
    <t>GILTON PEREIRA MIRANDA</t>
  </si>
  <si>
    <t>30042469-3</t>
  </si>
  <si>
    <t>Trabalho em Altura; Instalações Elétricas; Investigação e Análise de Incidentes, Comunicação de Incidentes; Plano de Atendimento a Emergência (PAE);PGR  e PCMSO; Noções básicas sobre SGQ na obra; Monitoramento de recebimento, inspeção e armazenamento de materiais; Política de Segurança do Trabalho Talude; Inspeção em Maquinas e equipamentos; Isolamento e sinalização de segurança vias e marginais;</t>
  </si>
  <si>
    <t>Operam máquinas e equipamentos, como vibro acabadora,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materiais em máquinas e equipamentos, Trabalham seguindo normas de segurança, higiene, qualidade e proteção ao meio ambiente, Executam serviços de apoio ao operador de acabadora, regulam espessura no nível de massa e material utilizado na pavimentação apoio para georeferenciamento e amarração.</t>
  </si>
  <si>
    <t>OP.SELAGEM DE ASFÁTICAS I, II,III</t>
  </si>
  <si>
    <t>Operam máquinas e equipamentos, como seladora, ajustando comandos, acionando movimento das máquinas. Avaliam condições de funcionamento das máquinas e equipamentos, interpretando painel de instrumentos de medição, verificando fonte de alimentação, testando comandos de acionamento. Preparam a área para operação dos equipamentos e transportam materiais em máquinas e equipamentos. Trabalham seguindo normas de segurança, higiene, qualidade e proteção ao meio ambiente. Identificam serviços, instalações de material isolantes, selecionam materiais a serem aplicados, solicitam liberação da área de trabalho.</t>
  </si>
  <si>
    <t>CARGO: OP.SELAGEM DE ASFÁTICAS I, II,III
FUNÇÃO: SERVIÇOS OPERACIONAIS NA EXECUÇÃO DE OBRAS
CBO: 715705</t>
  </si>
  <si>
    <t>715705-S</t>
  </si>
  <si>
    <t>DESCRIÇÃO SINTÉTICA:
Atuar em atividades auxiliares relativas à execução de obras em geral
DESCRIÇÃO DETALHADA:
Selagem da trincas com Sika rodoselante.
Identificam serviços de instalação de materiais isolantes, selecionam materiais a seremaplicados, solicitam liberação da área de trabalho, preparam o local e executam a insta lação de acordo com projetos, normas técnicas, normas de segurança e recomendaçõesdos fabricantes. providenciam descarte de resíduos.Revestir diferentes superfícies, sob supervisão, sob Supervisão superior;
Auxiliar na instalação de molduras de portas, janelas, quadro de luz e outros;
Aquecimentos da sika rodoselante;
Auxiliar na limpeza em geral;
Selagem da trincas com Sika rodoselante em rodovias e pistas pouso em aeroportos</t>
  </si>
  <si>
    <t xml:space="preserve">DESCRIÇÃO SINTÉTICA:
Atuar em atividades auxiliares relativas à execução de obras em ger Atuar em atividades relativas à área de operação de máquinas e equipamentos,Operam máquinas e equipamentos, Operador de máquina de terraplenagem, Operador de máquina rodoviária, Operador de tratores diversos, retro escavadeiras, escavadeiras hidráulicas, moto niveladora (Patrol) ,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materiais em máquinas e equipamentos, Trabalham seguindo normas de segurança, higiene, qualidade e proteção ao meio ambiente
DESCRIÇÃO DETALHADA:
Operar as seguintes máquinas: britador, betoneira, escavadeira hidráulica, pá
carregadeira, retro escavadeira, trator, espagidor de asfalto, moto niveladora, rolo compactador,  fresadora de asfálto, vibro acabadora entre outras;
operar máquinas munidas de uma lâmina ou escarifador, movida por autopropulsão ou por reboque, manipulando os comandos de marcha e direção, para nivelar terrenos na construção de edifícios, estradas, pistas e de outras obras;
verificar, trocar ou completar, se necessário cotidianamente o óleo, a água e o
combustível;limpar, lubrificar e ajustar as máquinas e seus implementos, de acordo com as instruções de manutenção do fabricante;
acompanhar os serviços de manutenção preventiva e corretiva das máquinas e seus implementos e, após executados, efetuar os testes necessários;
realizar treinamento na área de atuação, quando solicitado;
observar as medidas de segurança ao operar e estacionar as máquinas;
anotar, segundo normas estabelecidas, dados e informações sobre trabalhos realizados, consumo de combustível, consertos e outras ocorrências;
limpar placas, faróis e sinaleiros das máquinas e equipamentos utilizado;
Obedecer a legislação de transito;
Vistoriar mangueira,óleo,combustível e agua;
Compactar o solo;
manter organizados, limpos e conservados os materiais, máquinas, equipamentos e local de trabalho, que estão sob sua responsabilidade;
Espalhar material (Asfalto,BGS,BGTC,CBUQ e etc...);
Escavar solo;
Fresamento da camada asfáltica;
Nivelar o solo;
Carregar material e cortar buracos;
Laminar o solo;
Varrer o solo com vassoura mecânica;
operar equipamentos e sistemas de informática e outros, quando autorizado e necessário ao exercício das demais atividades;
Dirigir veículos leves, mediante autorização prévia, quando necessário ao  exercício das demais atividades;
Manter organizados, limpos e conservados os materiais, máquinas, equipamentos e local de trabalho, que estão sob sua responsabilidade, incluindo a limpeza da incrustações em laminas, conchas e demais partes do equipamento onde há
possibilidade de incrustações de produtos;utilizar a carga horária de lhe é pertinente com dedicação, zelo, responsabilidade  e tão somente a serviço da empresa;
Responsalidade pelo manuseio do equipamento;
Controlar capacidade do equipamento dentro das especificações do fabricante.
</t>
  </si>
  <si>
    <t>ENCARREGADO MECÂNICA</t>
  </si>
  <si>
    <t>Supervisionam manutenção preventiva e preditiva, corretiva e emergencial de má quinas e equipamentos industriais, comerciais e residenciais; estabelecem indica dores de qualidade da manutenção; coordenam a construção de equipamentospara linha de produção de máquinas e equipamentos; elaboram documentaçãotécnica; administram recursos humanos e financeiros, e trabalham de acordo comnormas de segurança.</t>
  </si>
  <si>
    <t>DSCRIÇÃO SINTÉTICA:
	Supervisonam  as atividades de auxílio relativas à área de montagem, desmontagem, reparo e manutenção de veículos.
DESCRIÇÃO DETALHADA:SUPERVISONAM 
	Auxiliar no concerto, montagem e desmontagem, observando catálogos e manuais de peças e manutenção, interpretando descrições técnicas dos referidos catálogos e manuais dos equipamentos, máquinas e veículos;
	Auxiliar na execução de serviços de manutenção mecânica corretiva e preventiva em veículos leves, pesados, máquinas, motores e equipamentos;
	Auxiliar no reparo de defeitos, substituindo peças, fazendo ajustes, regulagens e lubrificação, segundo orientações;
	Auxiliar no desmonte, limpeza e a montagem do motor, órgãos de transmissão,
diferencial e outras partes;
	Auxiliar no recondicionamento do equipamento elétrico, o alinhamento da direção e regulagem dos faróis do veículo;
	Auxiliar o mecânico a retirar forros, cintos, revestimentos e carpete e providenciar seu reparo ou manutenção.
	Auxiliar o mecânico com peças, ferramentas e mão-de-obra necessária.
	Utilizar a carga horária de lhe é pertinente com dedicação, zelo e responsabilidade;
	Utilizar a carga horária atribuída ao seu emprego, tão somente a serviço da empresa;
	Zelar pela limpeza, conservação e manutenção dos aparelhos, ferramentas e ambiente de trabalho.
	Dirigir veículos leves, mediante autorização prévia, quando necessário ao exercício das demais atividades.
	Manter organizados, limpos e conservados os materiais;
	local de trabalho, que estão sob sua responsabilidade.Auxilia na lubrificar máquinas e componentes; Ajustar, trocar, reparar e consertar componentes e partes da máquina; Montar e desmontar máquinas e equipamentos; Realizar inspeções e medições periódicas (manutenção preventiva);Executa processos de manutenção mecânica de máquinas industriais, desmontando, montando, recuperando ou substituindo peças e máquinas, respeitando procedimentos e normas técnicas de qualidade, segurança, meio ambiente e saúde.especializado em agricultura, mineração ou material rodante pesado: escavadeiras, retroescavadeiras, rolo compactador, moto niveladora e  tratores, etc. uma das funções do mecânico de máquinas pesadas é planejar, supervisionar e participar dos trabalhos de manutenção corretiva e preventiva.</t>
  </si>
  <si>
    <t>CARGO: ENCARREGADO MECÂNICA
FUNÇÃO:  ENCARREGADO MECÂNICA
CBO: 910105</t>
  </si>
  <si>
    <t>ENGENHEIRO MECÂNICA</t>
  </si>
  <si>
    <t>Projetam sistemas e conjuntos mecânicos, componentes, ferramentas e materiais, es pecificando limites de referência para cálculo, calculando e desenhando. implementamatividades de manutenção, testam sistemas, conjuntos mecânicos, componentes e fer ramentas, desenvolvem atividades de fabricação de produtos e elaboram documenta ção técnica. podem coordenar e assessorar atividades técnicas.</t>
  </si>
  <si>
    <t>FISICO: RUIDO,  RADIAÇÃO NÃO IONIZANTE.
ERGONOMICO: POSTURA INADEQUADA
ACIDENTE: QUEDA DE MESMO NIVEL, ACINDENTES DE TRANSITO.</t>
  </si>
  <si>
    <t>DSCRIÇÃO SINTÉTICA:
	Engenheiros mecânicos são responsáveis por realizar atividades voltadas a sistemas mecânicos, englobando as aplicações contidas nas macroáreas da profissão: materiais, processos de fabricação, fluido/térmicas, projetos mecânicos e gestão
DESCRIÇÃO DETALHADA:
O engenheiro mecânico é o profissional responsável por executar tarefas relacionadas aos sistemas mecânicos. Isso abrange áreas como materiais, processos de fabricação, termofluidos, projetos mecatrônicos e gestão.
Ele desempenha um papel fundamental na condução de atividades relacionadas a sistemas mecânicos, abrangendo diversas áreas-chave da profissão. Isso inclui o domínio de materiais, processos de fabricação, sistemas fluido/térmicos, elaboração de projetos mecânicos e gestão.</t>
  </si>
  <si>
    <t>CARGO: ENGENHEIRO MECÂNICO
FUNÇÃO:  ENGENHEIRO  MECÂNICA
CBO: 214405</t>
  </si>
  <si>
    <t>Treinamento para as máquinas: CAMINHÃO MUNCK, ROLO COMPACTADOR, ROLO CHAPA E PNEU, BOBCAT, ROLO PATA DE CARNEIRO, FRESADORA DE ASFALTICO, ESCAVADEIRA HIDRÁULICA RETROESCAVADEIRA E MOTONIVELADORA (PATROL).</t>
  </si>
  <si>
    <t>2142-05</t>
  </si>
  <si>
    <t>Desenvolvem projetos de engenharia civil, executam obras, planejam, orçam e contratam empreendimentos, coordenam a operação e a manutenção dos mesmos. Controlam a qualidade dos suprimentos e serviços comprados e executados. Elaboram normas e documentação técnica. Podem prestar consultorias.</t>
  </si>
  <si>
    <t xml:space="preserve">DESCRIÇÃO SINTÉTICA:
	Elaborar, executar e dirigir projetos de engenharia civil Orçamnetos de obras.
DESCRIÇÃO DETALHADA:
	Elaborar projetos de engenharia relativos a estrutura de edificações, tráfegos, vias urbanas e obras de pavimentação, sistemas de água e esgoto, aproveitamento de
	Recursos naturais, serviços de equipamentos urbanos, rurais e regionais, entre outros;
	Estudar características, especificações e preparar plantas, orçamentos de custos,técnicas de execução e outros dados, para possibilitar e orientar a construção,manutenção e reparo das obras, dentro dos padrões técnicos exigidos;
	Efetuar vistorias, perícias, avaliação de imóveis, arbitramento, emitindo laudos e pareceres técnicos;
	Participar de planos gerais e específicos, que visem o posicionamento institucional frente à comunidade, no que tange a sua especialidade e formação;
	Realizar treinamento na área de atuação, quando solicitado;
	Atuar, na qualidade de instrutor de treinamentos e outros eventos de igual natureza,mediante participação prévia em processo de qualificação e autorização superior;
	Operar equipamentos e sistemas de informática e outros, quando autorizado e
	Necessário ao exercício das demais atividades;
	Dirigir veículos leves, mediante autorização prévia, quando necessário ao exercício das demais atividades;
</t>
  </si>
  <si>
    <t xml:space="preserve">ENGENHEIRO ORÇAMENTISTA PLENO </t>
  </si>
  <si>
    <t>AUXILIAR  ADMINISTRATIVO DE RH</t>
  </si>
  <si>
    <t>Os agentes, assistentes e auxiliares administrativos realizam serviços de apoio nas áreas de recursos humanos, administração, finanças e logística, atendendo fornecedores e clientes, prestando e recebendo informações sobre produtos e serviços, tratando de documentos diversos, cumprindo todos os procedimentos necessários em relação a eles.</t>
  </si>
  <si>
    <t xml:space="preserve">FISICO: RUIDO
ERGONOMICO: POSTURA EM PÉ POR LONGOS PERÍODOS
</t>
  </si>
  <si>
    <t>DESCRIÇÃO DETALHADA:
	Recebimento de documentos e correspondências, assim como sua organização.
	Digitação de documentos.
	Elaboração e preenchimento de planilhas de controle interno.
	Auxílio ao departamento financeiro com lançamento.
	Auxiliar operações diárias das funções e obrigações de RH
	Compilar e atualizar registros do funcionário (cópias impressas e digitais)
	Processar a documentação e preparar relatórios relacionados com as atividades do pessoal (agenciamento, recrutamento, treinamento, reclamações, avaliações de desempenho etc.)
	Solicitações de funcionário relacionadas com problemas, regras e regulamentos de recursos humanos
	Auxiliar na preparação da folha de pagamento fornecendo dados relevantes (ausências, bônus, licenças etc.)
	Elaborar Relatórios e documentação mensais ao cliente
	Conduzir a orientação inicial para funcionários recentemente contratados
	Auxiliar os nossos recrutadores na seleção de candidatos e atualizar o nosso banco de dados.
	Apoiar os processos de admissão, integração e desligamento; 
	Elaboração e preenchimento de planilhas de controles. Exemplo: controle de férias dos colaboradores; 
	Fazer a gestão de ponto;
	Responder dúvidas e solicitações dos colaboradores acerca dos processos do RH
	Auxiliar o no lançamento benefícios e adicionais que incidem na folha de pagamento
	Suporte as rotinas do departamento Pessoal; 
	Atendimento interno à colaboradores.</t>
  </si>
  <si>
    <t>CARGO: AUXILIA  ADMINISTRATIVO DE RH-CBO-411010</t>
  </si>
  <si>
    <t>411010-RH</t>
  </si>
  <si>
    <t>CARGO: ENGENHEIRO ORÇAMENTISTA PLENO
FUNÇÃO:  ENGENHEIRO ORÇAMENTISTAS  PLENO
CBO:3214205</t>
  </si>
  <si>
    <t>4110-10 F</t>
  </si>
  <si>
    <t>ASSISTENTE FINANCEIRO</t>
  </si>
  <si>
    <t xml:space="preserve">
DESCRIÇÃO DETALHADA:
	Contas a pagar
	Receber e fazer triagem de notas, boletos e faturas.
	Inserir pagamento no banco
	Fazer conciliação dos pagamentos realizados
	Arquivamento de movimentos financeiros/pagamentos
	Analise de custos dos lançamentos
	Contas a receber
	Fazer lançamento das notas no sistema
	Conferência de boletos e notas fiscais 
	Fazer a conciliação dos recebimentos efetivados na conta bancária
	Acompanhar recebimentos de clientes e fornecedores
	Tesouraria/ Fundo Fixo
	Conciliação Bancária
	Aplicação/Resgate de financeira
	Administrar fundo fixo de reembolso
	Lançar notas e cupons no sistema
	Baixar títulos pagos e recebidos em suas respectivas contas bancárias.
	Lançar tarifas debitadas na conta corrente.
	Apurar/lançar receitas financeiras, mensalmente.
</t>
  </si>
  <si>
    <t>O assistente financeiro é responsável por monitorar receitas e despesas, gerenciar contas a pagar e receber, elaborar relatórios financeiros, preparar orçamentos e planejamentos financeiros, além de ajudar na tomada de decisões estratégicas relacionadas às finanças.</t>
  </si>
  <si>
    <t>ANALISTA FINANCEIRO</t>
  </si>
  <si>
    <t>2525-45</t>
  </si>
  <si>
    <t>O Analista Financeiro planeja, gere e analisa os recursos financeiros de uma empresa. É seu papel garantir a rentabilidade nas contas e investimentos, bem como ficar de olho nos gastos e ver os recursos disponíveis.</t>
  </si>
  <si>
    <t xml:space="preserve">
DESCRIÇÃO DETALHADA:
	Contas a pagar
	Receber e fazer triagem de notas, boletos e faturas.
	Inserir pagamento no banco
	Fazer conciliação dos pagamentos realizados
	Arquivamento de movimentos financeiros/pagamentos
	Analise de custos dos lançamentos
	Contas a receber
	Emitir notas fiscais conforme solicitações recebidas
	Fazer lançamento contábil das notas no sistema
	Conferência de boletos e notas fiscais 
	Fazer a conciliação dos recebimentos efetivados na conta bancária
	Acompanhar recebimentos de clientes e fornecedores
	Tesouraria/ Fundo Fixo
	Conciliação Bancária
	Aplicação/Resgate de financeira
	Administrar fundo fixo de reembolso
	Lançar notas e cupons no sistema
	Baixar títulos pagos e recebidos em suas respectivas contas bancárias.
	Lançar tarifas debitadas na conta corrente.
	Apurar/lançar receitas financeiras, mensalmente.; Fluxo de caixa; Analise de documentos; Analise de apuração dos resultados financeiros; Controle de diretos e indiretos de custos; Apoio ao Departamento Contábil, à gestão de documentos e à análise de Balanço/DRE.; Conferência das bases de cálculos de impostos.; Análise de faturamento e tributária.; Desenvolvimento de Análise ; Desenvolvimento e controle ; Relatórios Gerenciais 
</t>
  </si>
  <si>
    <t xml:space="preserve">CARGO: ANALISTA. FINACEIRO
FUNÇÃO: ANALISTA  FINACEIRO
CBO: 2525-45
</t>
  </si>
  <si>
    <t xml:space="preserve">CARGO: ASS. FINACEIRO
FUNÇÃO: ASSISTENTE FINACEIRO
CBO: 4110-10 F
</t>
  </si>
  <si>
    <t>RECEPCIONISTA</t>
  </si>
  <si>
    <t>Recepcionam e prestam serviços de apoio a clientes, visitantes, colaboradores; prestam atendimento telefônico e fornecem informações em escritórios, outros estabelecimentos; marcam entrevistas ou e recebem clientes ou visitantes; averiguam suas necessida des e dirigem ao lugar ou a pessoa procurados; agendam serviços, observam normas internas de segurança, conferindo documentos e idoneidade dos clientes enotificando seguranças sobre presenças estranhas; fecham contas e estadas de clientes.organizam informações e planejam o trabalho do cotidiano.</t>
  </si>
  <si>
    <t>4221-05</t>
  </si>
  <si>
    <t xml:space="preserve">
DESCRIÇÃO DETALHADA:
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Comunicação., Multitarefa., Habilidades sociais., Organização., Habilidades técnicas., Resistência ao estresse., Resolução de problemas., Empatia.
Como já contado, o(a) recepcionista faz o contato direto com o público e cliente, por isso, saber se comunicar bem é a primeira habilidade imprescindível para quem quer atuar como tal. Além disso, o mercado de trabalho busca profissionais que contam com certas características</t>
  </si>
  <si>
    <t xml:space="preserve">CARGO: RECEPCIONISTA
FUNÇÃO: RECPICIONISTA
CBO: 4221-05
</t>
  </si>
  <si>
    <t xml:space="preserve">ÓCULOS DE SEGURANÇA </t>
  </si>
  <si>
    <t>AUXILIAR DE MANUTENÇÃO GERAL</t>
  </si>
  <si>
    <t>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t>
  </si>
  <si>
    <t>FISICO: RUIDO,  RADIAÇÃO NÃO IONIZANTE,CALOR.
QUIMICO:DETERGENTE DESENGRAXANTE; DIESEL; GRAXA E OLEO LUBRIFICANTE .
ERGONOMICO: POSTURA EM PÉ LONGOS PERIODO.
ACIDENTE: TRABALHO EM ALTURA</t>
  </si>
  <si>
    <t>DESCRIÇÃO SINTÉTICA:
	Auxiliar de manutenção é um profissional que planeja e executa serviços com o intuito de arrumar ou prevenir que algum acidente aconteça com as máquinas e equipamentos que são utilizados, seja no serviços de facilities ou segurança. Eles também cuidam dos espaços
DESCRIÇÃO DETALHADA:
	Zelar pela guarda, conservação, manutenção, higiene e limpeza dos equipamentos, instrumentos e demais materiais utilizados, bem como do local de trabalho. Separar materiais recicláveis para descarte. Executar o tratamento e descarte dos resíduos de materiais provenientes do seu local de trabalho.;
	Auxiliar no reparo de defeitos, substituindo peças, fazendo ajustes, regulagens e lubrificação, segundo orientações;
	Auxiliar no desmonte, limpeza e a montagem do motor, órgãos de transmissão,
diferencial e outras partes;	Auxiliar o mecânico com peças, ferramentas e mão-de-obra necessária.
	Utilizar a carga horária de lhe é pertinente com dedicação, zelo e responsabilidade;
	Utilizar a carga horária atribuída ao seu emprego, tão somente a serviço da empresa;
	Zelar pela limpeza, conservação e manutenção dos aparelhos, ferramentas e ambiente de trabalho.
	Dirigir veículos leves, mediante autorização prévia, quando necessário ao exercício das demais atividades.
	Manter organizados, limpos e conservados os materiais;
	local de trabalho, que estão sob sua responsabilidade.</t>
  </si>
  <si>
    <t>CARGO: AUXILIAR DE MANUTENÇÃO GERAL
FUNÇÃO:  AUXILIAR DE MANUTENÇÃO GERAL
CBO: 514310</t>
  </si>
  <si>
    <t xml:space="preserve">SEDE OFICINA </t>
  </si>
  <si>
    <t>B</t>
  </si>
  <si>
    <t>PAR DE LUVAS M. RASPA/VAQUETA</t>
  </si>
  <si>
    <t>RISCO FISICO: RUIDO, RADIAÇÃO NÃO IONIZANTE, VIBRAÇÃO DE CORPO INTEIRO
RISCO QUÍMICO: POEIRAS MINERAIS (SILICA LIVRE CRISTALIZADA);  RISCO ERGONÔMICO: POSTURA INADEQUADA 
RISCO DE ACIDENTE: COLISÃO E TOMBAMENTO, BATIDAS CONTRA,  QUEDA DE MESMO NIVEL</t>
  </si>
  <si>
    <t>FISICO: RUIDO, RADIAÇÃO NÃO IONIZANTES E VIBRAÇÕES DE CORPO INTEIRO.
QUÍMICO: POEIRAS MINERAIS (SILICA LIVRE CRISTALIZADA) 
ERGONOMICO: POSTURA INADEQUADA.
ACIDENTE: COLISÃO E TOMBAMENTO, BATIDAS CONTRA E QUEDA DE MESMO NÍVEL.</t>
  </si>
  <si>
    <t>FISICO: RUIDO, RADIAÇÃO NÃO IONIZANTE.
QUÍMICO: POEIRAS MINERAIS (SILICA LIVRE CRISTALIZADA)
ERGONOMICO: POSTURA INADEQUADA
ACIDENTE:ATROPELAMENTOS, QUEDA DE MESMO NÍVEL.</t>
  </si>
  <si>
    <t>FISICO: RUIDO, RADIAÇÃO NÃO IONIZANTES.
QUÍMICO: POEIRAS MINERAIS (SILICA LIVRE CRISTALIZADA) 
ERGONOMICO: POSTURA INADEQUADA.
ACIDENTE:ATROPELAMENTOS, BATIDAS CONTRA, CORTES E PERFURAÇÕES, PROJEÇÃO DE PARTICULAS, QUEDA DE MESMO NÍVEL.</t>
  </si>
  <si>
    <t>FISICO: RUIDO, RADIAÇÃO NÃO IONIZANTES E VIBRAÇÕES DE CORPO INTEIRO.
QUÍMICO: POEIRAS  MINERAIS(SILICA LIVRE CRISTALIZADA) 
ERGONOMICO: POSTURA INADEQUADA.
ACIDENTE: COLISÃO E TOMBAMENTO, QUEDA DO MESMO NÍVEL,  BATIDAS CONTRA.</t>
  </si>
  <si>
    <t>RISCO FISICO: RUIDO, RADIAÇÃO NÃO IONIZANTE, VIBRAÇÕES DE CORPO INTEIRO.
RISCO QUÍMICO: POEIRAS  MINERAIS (SILICA LIVRE CRISTALIZADA) ; RISCO ERGONÔMICO: POSTURA INADEQUADA 
RISCO DE ACIDENTE: COLISÃO E TOMBAMENTO, BATIDAS CONTRA,  QUEDA DO MESMO NÍVEL</t>
  </si>
  <si>
    <t>FISICO: RUIDO, RADIAÇÃO NÃO IONIZANTE.
QUÍMICO: POEIRAS  POEIRAS MINERAIS (SILICA LIVRE CRISTALIZADA);
ERGONOMICO: POSTURA INADEQUADA
ACIDENTE:ATROPELAMENTOS, QUEDA DE MESMO NÍVEL.</t>
  </si>
  <si>
    <t>FISICO: RUIDO, RADIAÇÃO NÃO IONIZANTE.
QUÍMICO:  POEIRAS MINERAIS (SILICA LIVRE CRISTALIZADA) , POEIRAS METÁLICAS.
ERGONOMICO: POSTURA INADEQUADA.
ACIDENTE: ATROPELAMENTO,  BATIDAS CONTRA, CORTES E PERFURAÇÕES, PROJEÇÃO DE PARTÍCULAS E QUEDA DE MESMO NÍVEL.</t>
  </si>
  <si>
    <t>FISICO: RUIDO, RADIAÇÃO NÃO IONIZANTE.
QUÍMICO: POEIRAS POEIRAS MINERAIS (SILICA LIVRE CRISTALIZADA), POEIRAS METÁLICAS.
ERGONOMICO: POSTURA INADEQUADA.
ACIDENTE: ATROPELAMENTO,  BATIDAS CONTRA, CORTES E PERFURAÇÕES, PROJEÇÃO DE PARTÍCULAS, QUEDA DE MESMO NÍVEL E TRABALHO EM ALTURA.</t>
  </si>
  <si>
    <t>FISICO: RUIDO, RADIAÇÃO NÃO IONIZANTES.
QUÍMICO: POEIRAS MINERAIS (SILICA LIVRE CRISTALIZADA), FUMOS E VAPORES ASFÁLTICOS
ERGONOMICO: POSTURA INADEQUADA
ACIDENTE:  COLISÃO E TOMBAMENTO, BATIDAS CONTRA, COLISÃO E TOMBAMENTO,  QUEDA DE MESMO NÍVEL.</t>
  </si>
  <si>
    <t>FISICO: RUIDO, RADIAÇÃO NÃO IONIZANTE.
QUÍMICO: POEIRAS MINERAIS (SILICA LIVRE CRISTALIZADAS)
ERGONOMICO: POSTURA INADEQUADA
ACIDENTE:ATROPELAMENTOS, BATIDAS CONTRA, QUEDA DE MESMO NÍVEL.</t>
  </si>
  <si>
    <t>FISICO: RUIDO, RADIAÇÃO NÃO IONIZANTE.
QUÍMICO: POEIRAS  MINERAIS (SILICA LIVRE CRISTALIZADA), 
ERGONOMICO: POSTURA INADEQUADA
ACIDENTE: ACIDENTES DE TRANSITO (COLISÕES E ATROPELAMENTOS) BATIDAS CONTRA, QUEDA DE MESMO NÍVEL..</t>
  </si>
  <si>
    <t>FISICO: RUIDO, RADIAÇÃO NÃO IONIZANTE.
QUÍMICO: POEIRAS MINERAIS (SILICA LIVRE CRISTALIZADA).
ERGONOMICO: POSTURA INADEQUADA
ACIDENTE:  ATROPELAMENTOS, CHOQUE ELÉTRICO, QUEDA DE MESMO NÍVEL..</t>
  </si>
  <si>
    <t>FISICO: RUIDO, RADIAÇÃO NÃO IONIZANTES.
QUÍMICO: POEIRAS  MINERAIS (SILICA LIVRE CRISTALIZADA),  
ERGONOMICO: POSTURA INADEQUADA.
ACIDENTE:ATROPELAMENTO, BATIDAS CONTRA, PROJEÇÃO DE PARTICULAS, QUEDA DE MESMO NÍVEL.</t>
  </si>
  <si>
    <t>FISICO: RUIDO, RADIAÇÃO NÃO IONIZANTE, CALOR.
QUÍMICO: POEIRAS MINERAIS (SILICA LIVRE CRISTALIZADA)
ERGONOMICO: POSTURA INADEQUADA
ACIDENTE: ARRANJO FÍSICO INADEQUADO, ILUMINAÇÃO INADEQUADA.</t>
  </si>
  <si>
    <t>FISICO: RUIDO, RADIAÇÃO NÃO IONIZANTE.
QUÍMICO: POEIRAS MINERAIS (SILICA LIVRE CRISTALIZADA)
ERGONOMICO: POSTURA INADEQUADA
ACIDENTE:ATROPELAMENTOS BATIDAS CONTRA, QUEDA DE MESMO NÍVEL.</t>
  </si>
  <si>
    <t>FISICO: RUIDO, RADIAÇÃO NÃO IONIZANTES.
QUÍMICO: POEIRASMINERAIS (SILICA LIVRE CRISTALIZADA)
ERGONOMICO: POSTURA INADEQUADA.
ACIDENTE:ATROPELAMENTOS, BATIDAS CONTRA, PROJEÇÃO DE PARTICULAS, QUEDA DE MESMO NÍVEL E TRABALHO EM ALTURA.</t>
  </si>
  <si>
    <t>FISICO: RUIDO, RADIAÇÃO NÃO IONIZANTE.
QUÍMICO: POEIRAS MINERAIS (SILICA LIVRE CRISTALIZADA)
ERGONOMICO: POSTURA INADEQUADA
ACIDENTE:  ATROPELAMENTOS, CHOQUE ELÉTRICO, QUEDA DE MESMO NÍVEL..</t>
  </si>
  <si>
    <t>FISICO: RUIDO, RADIAÇÃO NÃO IONIZANTE.
QUÍMICO: POEIRAS MINERAIS (SILICA LIVRE CRISTALIZADA), PRODUTOS QUÍMICOS.
ERGONOMICO: POSTURA INADEQUADA.
ACIDENTE: ATROPELAMENTOS, BATIDAS CONTRA, CORTES E PERFURAÇÕES, PROJEÇÃO DE PARTÍCULAS, QUEDAS DE MESMO NIVEL E TRABALHO EM ALTURA</t>
  </si>
  <si>
    <t>FISICO: RUIDO
QUÍMICO: POEIRAS MINERAIS (SILICA LIVRE CRISTALIZADA)
ERGONOMICO: POSTURA INADEQUADA
ACIDENTE: ARRANJO FÍSICO INADEQUADO.</t>
  </si>
  <si>
    <t>FISICO: RUIDO.
QUÍMICO: POEIRAS  MINERAIS (SILICA LIVRE CRISTALIZADA) ; PRODUTOS QUIMICOS DE USO DOMESTICO.
BIOLÓGICO: FUNGOS, VIRUS E BACTÉRIAS (LIMPEZA); ERGONOMICO: POSTURA EM PÉ POR LONGOS PERIODOS
ACIDENTE:  QUEDA DE MESMO NÍVEL.</t>
  </si>
  <si>
    <t>FISICO: RUIDO, RADIAÇÃO NÃO IONIZANTE.
QUÍMICO: POEIRAS MINERAIS (SILICA LIVRE CRISTALIZADA)
ERGONOMICO: POSTURA INADEQUADA
ACIDENTE: QUEDA DE MESMO NÍVEL.</t>
  </si>
  <si>
    <t>FISICO: RUIDO,  RADIAÇÃO NÃO IONIZANTE.
QUIMICO: ÓLEOS LUBRIFICANTES E GRAXAS.
ERGONOMICO: POSTURA INADEQUADA
ACIDENTE: CORTE PERFURAÇÕES, QUEDA DE MESMO NIVEL, . PARTICULAS E BATIDAS CONTRA.</t>
  </si>
  <si>
    <t>FISICO: RUIDO, RADIAÇÃO NÃO IONIZANTES.
QUÍMICO: POEIRAS MINERAIS (SILICA LIVRE CRISTALIZADA), FUMOS E VAPORES ASFÁLTICOS
ERGONOMICO: POSTURA INADEQUADA
ACIDENTE: ATROPELAMENTO, COLISÃO E TOMBAMENTO, BATIDAS CONTRA,  QUEDA DE MESMO NÍVEL.</t>
  </si>
  <si>
    <t xml:space="preserve">FISICO: RUIDO.
ERGONOMICO: POSTURA EM PÉ POR LONGOS PERIODOS 
</t>
  </si>
  <si>
    <t>Elaboram projetos de engenharia civil, gerenciam obras, controlam a qualidade deempreendimentos. coordenam a operação e manutenção do empreendimento. podem prestar consultoria, assistência e assessoria e elaborar pesquisas tecnológicas,.</t>
  </si>
  <si>
    <t>FISICO: RUÌDO. RADIAÇÃO  RADIAÇÃO NÃO IONIOZANTE 
ERGONOMICO: POSTURA INADEQUADA,QUIMICO: POEIRA MINERAIS ( SILICA LIVRE CRISTALIZADA ) 
ACIDENTE:ATROPELAMENTO,  BATIDA CONTRA, QUEDA DE E MESMO NIVEL, .</t>
  </si>
  <si>
    <t>FISICO: RUIDO, RADIAÇÃO NÃO IONIZANTE.
QUÍMICO: POEIRAS  MINERAIS (SILICA LIVRE CRISTALIZADA), ARGAMASSA, CIMENTO.
ERGONOMICO: POSTURA INADEQUADA.
ACIDENTE: ATROPELAMENTOS, BATIDAS CONTRA, CORTES E PERFURAÇÕES, PROJEÇÃO DE PARTÍCULAS, QUEDAS DE MESMO NIVEL</t>
  </si>
  <si>
    <t xml:space="preserve">FISICO: RUIDO,  RADIAÇÕES NÃO IONIZANTES; QUÍMICO: POEIRAS DE MADEIRA, MINERAIS (SILICA LIVRE CRISTALIZADA) E PRODUTOS QUIMICOS;
ERGONOMICO: POSTURA INADEQUADA.
ACIDENTE:  ATROPELAMENTO, BATIDA CONTRA, CORTE E PERFURAÇÕES, PROJEÇÕES DE PARTÍCULAS E QUEDA DE MESMO NÍVEL, </t>
  </si>
  <si>
    <t xml:space="preserve">FISICO: RUIDO,  RADIAÇÕES NÃO IONIZANTES; QUÍMICO: POEIRAS DE MADEIRA, DESMOLDANTE MINERAIS (SILICA LIVRE CRISTALIZADA);
ERGONOMICO: POSTURA INADEQUADA.
ACIDENTE:  ATROPELAMENTO, BATIDA CONTRA, CORTE E PERFURAÇÕES, PROJEÇÕES DE PARTÍCULAS E QUEDA DE MESMO NÍVEL, </t>
  </si>
  <si>
    <t>FISICO: RUIDO, RADIAÇÃO NÃO IONIZANTES, VIBRAÇÃO DE CORPO INTEIRO.
QUÍMICO: FUMOS ASFÁLTICOS E POEIRAS MINERAIS (SÍLICA LIVRE CRISTALIZADA) 
ERGONOMICO: POSTURA INADEQUADA.
ACIDENTE:COLISÃO E TOMBAMENTO, BATIDAS CONTRA, QUEDA DE MESMO NÍVEL .</t>
  </si>
  <si>
    <t>FISICO: RUIDO,  RADIAÇÃO NÃO IONIZANTE.
QUIMICO: ÓLEOS LUBRIFICANTES E GRAXAS.
ERGONOMICO: POSTURA INADEQUADA
ACIDENTE: CORTE PERFURAÇÕES E QUEDA DE MESMO NIVEL.</t>
  </si>
  <si>
    <t>OPERADOR DE BETONEIRA ELETRICA.</t>
  </si>
  <si>
    <t>Operam a betoneira misturar materiais  nela que se coloca água, areia, cimento e agregados para a formação do concreto, preparar o concreto por meio da adequada mistura dos materiais previamente dosados, utilizado no preparo do concreto e argamassa..</t>
  </si>
  <si>
    <t>DESCRIÇÃO SINTÉTICA:
Atuar em atividades auxiliares relativas à execução de obras em geral
DESCRIÇÃO DETALHADA:
Para evitar risco de ferimento,morte, incêndio,choque elétrico,quando usar a máquina, observe as informações relacionadasabaixo: » A máquina foi desenvolvida exclusivamente para o uso de mistura de matérias na temperatura ambiente e capacidade de carga defi nida (ler todo manual para conhecer); » Instalação e funcionamento somente podem ser executadas por pessoas qualifi cadas, capacitadas e supervisionadas por profi ssional legalmente habilitado; » Operação somente por pessoas capacitadas; » Não instale ou guarde a máquina em local sujeito a chuvas ou ao mau tempo; » Não repare ou troque qualquer parte da máquina e nem faça nenhum reparo que não seja explicitamente recomendado neste manual. Para manutenção, entre em contato com a Rede Autorizada ou Fabricante; » Observe atentamente as instruções de instalação, principalmente, quanto à voltagem de alimentação e ao aterramento; » Nunca conecte ou desconecte o plugue com as mãos molhadas, para evitar uma descarga elétrica; » Sempre trabalhar de botina/sapato de segurança e outros EPI’S que se fi zerem necessário segundo especifi cação do responsável pela segurança do trabalhador do local de trabalho
3.1. cuIdAdOs gERAIs » Antes de operar o equipamento faça uma inspeção de pré-operação (Item 3.4) para maior segurança; » Somente pessoas qualifi cadas, capacitadas e autorizadas devem testar, operar, fazer manutenção ou reparar o equipamento; » Somente um operador de cada vez pode operar a máquina; » Não deixe o equipamento sozinho quando estiver em funcionamento; » Sempre que operar o equipamento usar E.P.I.’s – Equipamento de Proteção Individual – como: capacete, protetor auricular, luvas de borracha, calçados apropriados e roupas de proteção (Os EPI’s corretos devem ser informados no PPRA da empresa e/ou PCMAT da obra (Conforme NR 09). » Mantenha as mãos, cabelos, roupas soltas e ferramentas longe das partes móveis do equipamento; » É proibido trabalhar no equipamento com roupas soltas e cabelos longos por existir o risco de agarramento destes pelas partes móveis do equipamento gerando acidentes graves podendo até acontecer morte; » Não opere o equipamento quando estiver sob infl uência de remédios, bebidas alcoólicas e outros que prejudique a atenção no trabalho com betoneira; MANUAL DE OPERAÇÃO E MANuTENÇÃO 4  Sempre limpe o equipamento após o uso e antes de armazená-lo (Ver procedimento de limpeza – item 7). » Quando estiver em funcionamento, animais e pessoas não autorizadas devem ser mantidos a uma distância segura</t>
  </si>
  <si>
    <t>CARGO: OPERADOR DE BETONEIRA ELETRICA.
FUNÇÃO: SERVIÇOS OOPERADOR DE BETONEIRA ELETRICA NA  OBRAS
CBO: 715405</t>
  </si>
  <si>
    <t>COLETE REFLETIVO</t>
  </si>
  <si>
    <t xml:space="preserve">GILTON PEREIRA MIRANDA </t>
  </si>
  <si>
    <t>Registro MTE-SP 012305/6</t>
  </si>
  <si>
    <t>,
ERGONOMICO: POSTURA EM PÉ POR LONGOS PERIODOS.
.</t>
  </si>
  <si>
    <t xml:space="preserve">GILTON PEREIRA MIRANDA  </t>
  </si>
  <si>
    <t>TÉC. DE SEG. DO TRABALHO</t>
  </si>
  <si>
    <t xml:space="preserve">TÉCNICO DE SEGURANÇA DO TRABALHO </t>
  </si>
  <si>
    <t xml:space="preserve">INSTRUTOR </t>
  </si>
  <si>
    <t>CONTRATO</t>
  </si>
  <si>
    <t xml:space="preserve">NOME </t>
  </si>
  <si>
    <t xml:space="preserve">CPF </t>
  </si>
  <si>
    <t>RG</t>
  </si>
  <si>
    <t>Registro MTE-SP 0123056</t>
  </si>
  <si>
    <t>MTE-SP 0123056</t>
  </si>
  <si>
    <r>
      <t>aprovada pela</t>
    </r>
    <r>
      <rPr>
        <b/>
        <sz val="15"/>
        <color theme="1"/>
        <rFont val="Arial"/>
        <family val="2"/>
      </rPr>
      <t xml:space="preserve"> Portaria 3.214/78 do Ministério do Trabalho</t>
    </r>
    <r>
      <rPr>
        <sz val="15"/>
        <color theme="1"/>
        <rFont val="Arial"/>
        <family val="2"/>
      </rPr>
      <t xml:space="preserve">,  realizada no dia </t>
    </r>
  </si>
  <si>
    <r>
      <t xml:space="preserve">participou do Treinamento Admissional para novos funcionários, conforme </t>
    </r>
    <r>
      <rPr>
        <b/>
        <sz val="15"/>
        <color theme="1"/>
        <rFont val="Arial"/>
        <family val="2"/>
      </rPr>
      <t>NR-18, item 18.14 Anexo-l</t>
    </r>
  </si>
  <si>
    <r>
      <t xml:space="preserve"> com </t>
    </r>
    <r>
      <rPr>
        <b/>
        <sz val="15"/>
        <color theme="1"/>
        <rFont val="Arial"/>
        <family val="2"/>
      </rPr>
      <t xml:space="preserve">carga horária de 4 horas </t>
    </r>
  </si>
  <si>
    <r>
      <t>Declaro ter participado do Treinamento de Integração   NA SEDE DA EMPRESA TALUDE CONSTRUÇÕES S.A , dentro do horário normal de trabalho, com carga horária de quatro</t>
    </r>
    <r>
      <rPr>
        <b/>
        <sz val="10"/>
        <color theme="1"/>
        <rFont val="Arial"/>
        <family val="2"/>
      </rPr>
      <t xml:space="preserve"> (04) horas</t>
    </r>
    <r>
      <rPr>
        <sz val="10"/>
        <color theme="1"/>
        <rFont val="Arial"/>
        <family val="2"/>
      </rPr>
      <t xml:space="preserve"> conforme 18.14 Anexo-l, recebendo orientações e informações necessárias para que eu possa iniciar meu trabalho, conforme descrito abaixo:
• Informações sobre as condições e meio ambiente de trabalho;
•  PGR - Plano de Gerenciamento de Resíduos;
•  Contenção de Vazamento;
• Perigos e Riscos, Aspectos e Impactos Ambientais;
• Uso adequado dos Equipamentos de Proteção Individual;
• Informações sobre os Equipamentos de Proteção Coletiva (EPC) existentes no canteiro de obras;
• APR - Análise Preliminar de Riscos, PTR- Permissão de Trabalho de Riscos;
• Trabalho em Altura; Instalações Elétricas;
•  Investigação e Análise de Incidentes, Comunicação de Incidentes;
• Plano de Atendimento a Emergência (PAE);
• PGR, PCMAT e PCMSO;
• Noções básicas sobre SGQ na obra;
• Monitoramento de recebimento, inspeção e armazenamento de materiais;
• Política de Segurança do Trabalho Talude (Política do Sistema de Gestão Integrado CCR AutoBan);
• Inspeção em Maquinas e equipamentos;
• Isolamento e sinalização de segurança vias e marginais;
• Proteção contra quedas;
• Organização e limpeza do canteiro, preservação de equipamentos e ferramentas e terminalidade dos serviços;
</t>
    </r>
    <r>
      <rPr>
        <sz val="10"/>
        <color rgb="FFFF0000"/>
        <rFont val="Arial"/>
        <family val="2"/>
      </rPr>
      <t xml:space="preserve">• </t>
    </r>
    <r>
      <rPr>
        <b/>
        <u/>
        <sz val="10"/>
        <color rgb="FFFF0000"/>
        <rFont val="Arial"/>
        <family val="2"/>
      </rPr>
      <t>Recomendações e Ações de Prevenção Covid 19 conforme legislação vigente. , AlcoolXDrogas</t>
    </r>
    <r>
      <rPr>
        <sz val="10"/>
        <color theme="1"/>
        <rFont val="Arial"/>
        <family val="2"/>
      </rPr>
      <t xml:space="preserve">
. Manual de Normas e Condutas para Motorista no Trânsito; ECONOMIA DE ENERGIA; COLETA SELETIVA E RECICLAGEM.
Declaro ainda que recebi cópias de procedimentos das operações a serem realizadas, conforme a NR-18.28.4.
Estou ciente dos riscos inerentes ao trabalho que vou executar e sei que é necessário trabalhar com segurança, cumprindo e obedecendo as regras, regulamentos, procedimentos e padrões da minha empresa. Estou ciente que, se eu não cumpri-los, posso ser penalizado inclusive com a minha demissão.
</t>
    </r>
  </si>
  <si>
    <t xml:space="preserve">BOTINA  DE SEGURANÇA </t>
  </si>
  <si>
    <r>
      <rPr>
        <b/>
        <sz val="16"/>
        <color theme="1"/>
        <rFont val="Arial"/>
        <family val="2"/>
      </rPr>
      <t xml:space="preserve"> </t>
    </r>
    <r>
      <rPr>
        <sz val="16"/>
        <color theme="1"/>
        <rFont val="Arial"/>
        <family val="2"/>
      </rPr>
      <t xml:space="preserve"> com carga horária de 08 h.</t>
    </r>
  </si>
  <si>
    <t>08 HORAS</t>
  </si>
  <si>
    <t xml:space="preserve"> com carga horária de 08 h.</t>
  </si>
  <si>
    <t>Auxilia execução de levantamentos geodésicos e topo hidrográficos, por meio de levantamentos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georeferenciamento e amarração, coletando dados geométricos. Efetuam cálculos e desenhos e elaboram documentos cartográficos, definindo escalas e cálculos cartográficos, efetuando aerotriangulação, restituindo fotografias aéreas</t>
  </si>
  <si>
    <t>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t>
  </si>
  <si>
    <t>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t>
  </si>
  <si>
    <t>2147-05 E</t>
  </si>
  <si>
    <t>2147-05</t>
  </si>
  <si>
    <t>ESTAGIÁRIO(A). DE ENGENHARIA</t>
  </si>
  <si>
    <t>Auxiliam engenheiros civis em atividades como acompanhamento de obras, desenvolvimento de projetos, elaboração de relatórios técnicos, entre outras tarefas relacionadas à engenharia civil.</t>
  </si>
  <si>
    <t>ESTAGIÁRIO(A)</t>
  </si>
  <si>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preparam relatórios e planilhas, executam serviços gerais de escritórios.</t>
  </si>
  <si>
    <t xml:space="preserve">FISICO: RUIDO,  
ERGONOMICO: POSTURA EM PÉ POR LONGOS PERÍODOS.
</t>
  </si>
  <si>
    <t>DESCRIÇÃO SINTÉTICA:
	Auxiliar na elaborar, executar e dirigir projetos de administrativos.
DESCRIÇÃO DETALHADA:
	Solicitação de material Solicitar via sistema Mega materiais; Diário de obra  Preenchimento das atividades diárias; Controle Almoxarifado  Apoio no controle do estoque ; Controle de Produção; Apoio no
monitoramento dos índices; Pedido de Compra; Solicitação via sistema Mega; Medições Medições de terceiros Auxilia na elaborar projetos de administrativo a estrutura de edificações, tráfegos, vias urbanas e obras de pavimentação, sistemas de água e esgoto, aproveitamento de
	Recursos naturais, serviços de equipamentos urbanos, rurais e regionais, entre outros;
	Estudar características, especificações e preparar plantas, orçamentos de custos,técnicas de execução e outros dados, para possibilitar e orientar a construção,manutenção e reparo das obras, dentro dos padrões técnicos exigidos;
	Participar de planos gerais e específicos, que visem o posicionamento institucional frente à comunidade, no que tange a sua especialidade e formação;
	Realizar treinamento na área de atuação, quando solicitado;
	Atuar, na qualidade de instrutor de treinamentos e outros eventos de igual natureza,mediante participação prévia em processo de qualificação e autorização superior;
	Operar equipamentos e sistemas de informática e outros, quando autorizado e
	Necessário ao exercício das demais atividades;
	Dirigir veículos leves, mediante autorização prévia, quando necessário ao exercício das demais atividades;</t>
  </si>
  <si>
    <t xml:space="preserve">CARGO: ESTAGIÁRIO(A) 
FUNÇÃO: ESTAGIÁRIO (A)
CBO: 2147-05
</t>
  </si>
  <si>
    <t xml:space="preserve">CARGO: ESTAGIÁRIO ENGENHARIA
FUNÇÃO: ESTAGIÁRIO  DE ENGENHARIA
CBO: 2147-05
</t>
  </si>
  <si>
    <t>715140-P</t>
  </si>
  <si>
    <t>ENCARREGADO DE  PAVIMENTAÇÃO PLENO</t>
  </si>
  <si>
    <t>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t>
  </si>
  <si>
    <t>ENG. SEG DO TRABALHO</t>
  </si>
  <si>
    <t>Controlam perdas de processos, produtos e serviços ao identificar, determinar e analisar causas de perdas, estabelecendo plano de ações preventivas e corretivas. Desenvolvem, testam e supervisionam sistemas, processos e métodos produtivos, gerenciam atividades de segurança no trabalho e do meio ambiente, gerenciam exposições a fatores ocupacionais de risco à saúde do trabalhador, planejam empreendimentos e atividades produtivas e coordenam equipes, treinamentos e atividades de trabalho. Os Engenheiros de Logística também gerenciam as operações de logística em três eixos: transportes, armazenamento e inteligência, inclusive no que se refere à logística reversa.</t>
  </si>
  <si>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t>
  </si>
  <si>
    <t>ENCARREGADO DE OBRAS  GERAL</t>
  </si>
  <si>
    <t>Executam levantamentos geodésicos e topo hidrográficos, por meio de levantamentos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georreferenciamento e amarração, coletando dados geométricos. Efetuam cálculos e desenhos e elaboram documentos cartográficos, definindo escalas e cálculos cartográficos, efetuando aerotriangulação, restituindo fotografias aéreas.</t>
  </si>
  <si>
    <t>Responsável pelo nivelamento da vibra acabadora, verificar a vibração da mesa e compactação, nivelamento da espessura da camada do material a ser aplicada, controla o andamento da operação regulando o consumo do material, monitorar e avisar aos supervisores, de eventuais anomalias de funcionamentos do equipamento orientar as auxiliares nos acabamentos da massa asfálticas aplicadas.</t>
  </si>
  <si>
    <t>MARTELETEIRO</t>
  </si>
  <si>
    <t xml:space="preserve">ENG. DE PLANEJAMENTO </t>
  </si>
  <si>
    <t>2142.05</t>
  </si>
  <si>
    <t>CARGO: ENGENHEIRO PLANEJAMENTO
FUNÇÃO:  ENGENHEIRO CIVIL
CBO:2142.05</t>
  </si>
  <si>
    <t>312320-E</t>
  </si>
  <si>
    <t xml:space="preserve"> ENCARREGADO DE TOPOGRAFIA </t>
  </si>
  <si>
    <t>Operam máquinas e equipamentos, Operador de máquina de terraplenagem, Operador de máquina rodoviária, Operador de tratores diversos, retro escavadeiras, escavadeiras hidráulicas, moto niveladora (Patrol), rolo compactador chapa e pneu, Bob cat, Vibro acabadora e fresadora de asfalto ,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materiais em máquinas e equipamentos, Trabalham seguindo normas de segurança, higiene, qualidade e proteção ao meio ambiente.</t>
  </si>
  <si>
    <t>2149-10</t>
  </si>
  <si>
    <t xml:space="preserve">ENGENHEIRO QUALIDADE </t>
  </si>
  <si>
    <t>Desenvolvem projetos de engenharia civil; executam obras; planejam, orçam e contratam empreendimentos; coordenam a operação e a manutenção dos mesmos. Controlam a qualidade dos suprimentos e serviços comprados e executados. Elaboram normas e documentação técnica. Podem prestar consultorias.</t>
  </si>
  <si>
    <t>FISICO: RUIDO, RADIAÇÃO NÃO IONIZANTE.
ERGONOMICO: POSTURA INADEQUADA
ACIDENTE: QUEDA DE MESMO NÍVEL.</t>
  </si>
  <si>
    <t xml:space="preserve">DESCRIÇÃO SINTÉTICA:
	Planeja de controle de qualidade, Planeja e elaborar, executar e dirigir projetos de engenharia civil.
DESCRIÇÃO DETALHADA:
	Criar um produto, projetando testes, identificando defeitos e analisando os resultados para afinar o processo de produção, Elaborar projetos de engenharia relativos a estrutura de edificações, tráfegos, vias urbanas e obras de pavimentação, sistemas de água e esgoto, aproveitamento de Recursos naturais, serviços de equipamentos urbanos, rurais e regionais, entre outros;
	Trabalha de forma a garantir que os produtos, processos e sistemas estejam em conformidade com os padrões e requisitos de qualidade estabelecidos. Eles desempenham diversas atividades para atingir esse objetivo; Estudar características, especificações e preparar plantas, orçamentos de custos,técnicas de execução e outros dados, para possibilitar e orientar a construção,manutenção e reparo das obras, dentro dos padrões técnicos exigidos;
	Efetuar vistorias, perícias, avaliação de imóveis, arbitramento, emitindo laudos e pareceres técnicos;
	Participar de planos gerais e específicos, que visem o posicionamento institucional frente à comunidade, no que tange a sua especialidade e formação;
	Realizar treinamento na área de atuação, quando solicitado;
	Atuar, na qualidade de instrutor de treinamentos e outros eventos de igual natureza,mediante participação prévia em processo de qualificação e autorização superior;
	Operar equipamentos e sistemas de informática e outros, quando autorizado e
	Necessário ao exercício das demais atividades;
	Dirigir veículos leves, mediante autorização prévia, quando necessário ao exercício das demais atividades;
</t>
  </si>
  <si>
    <t>CARGO: ENGENHEIRO QUALIDADE 
FUNÇÃO:  ENGENHEIRO QUALIDADE 
CBO:214910</t>
  </si>
  <si>
    <t xml:space="preserve">NR-11 TREINAMENTO ESPECIFICO OPERADOR DE MAQUINAS </t>
  </si>
  <si>
    <t>7170-10</t>
  </si>
  <si>
    <t>Demolem edificações de concreto, de alvenaria e outras estruturas; preparam canteirosde obras, limpando a área e compactando solos. efetuam manutenção de primeiro nível,limpando máquinas e ferramentas, verificando condições dos equipamentos e reparandoeventuais defeitos mecânicos nos mesmos. realizam escavações e preparam massa deconcreto e outros materiais.</t>
  </si>
  <si>
    <t>FISICO: RUIDO, RADIAÇÃO NÃO IONIZANTE, VIBRAÇÃO DE CORPO INTEIRO.
QUÍMICO: POEIRAS  MINERAIS (SILICA LIVRE CRISTALIZADA).
ERGONOMICO: POSTURA INADEQUADA.
ACIDENTE: COLISÃO E TOMBAMENTO, BATIDAS CONTRA, QUEDAS DE MESMO NIVEL.</t>
  </si>
  <si>
    <t>DESCRIÇÃO SINTÉTICA:
Atuar em atividades Operar martelete para perfurar e romper concreto, cerâmica, rochas e solos em obras de construção.
DESCRIÇÃO DETALHADA:
Identifica falhas nas rochas Retira pedras e fragmentos soltos Faz desmonte manual de rochas, utilizando ferramentas manuais Sempre trabalhar de botina/sapato de segurança e outros EPI’S que se fi zerem necessário segundo especifi cação do responsável pela segurança do trabalhador do local de trabalho
3.1. Finalidade que a furadeira, o martelete é mais eficiente na perfuração em concreto, pois o impacto produzido por ele é gerado através de um mecanismo elétrico pneumático, em que o pistão exerce uma compressão de ar que é transmitida indiretamente para a broca.O martelo demolidor, também conhecido como martelete, é uma ferramenta essencial em obras de construção civil, especialmente em projetos residenciais. Sua função principal é quebrar concreto, pedras e outros materiais sólidos, facilitando a demolição de estruturas antigas ou a abertura de novos espaços.O martelete rompedor permite que você rompa ou quebre diversas superfícies onde serviços manuais com marretas, por exemplo, são dificultados. A ferramenta permite romper concreto de maior dureza, demolindo paredes, vigas e abrindo canaletas de passagem de tubulações</t>
  </si>
  <si>
    <t>CARGO: OPERADOR DE MARTELETE
FUNÇÃO: SERVIÇOS OPERAR MARTELETE NA  OBRAS
CBO: 717010</t>
  </si>
  <si>
    <t>Registro MTE-0123056/SP</t>
  </si>
  <si>
    <t>REGISTRO - MTE-0123056/SP</t>
  </si>
  <si>
    <t>MTE-0123056/SP</t>
  </si>
  <si>
    <t xml:space="preserve">MOTORISTA COLETIVO </t>
  </si>
  <si>
    <t>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</si>
  <si>
    <t>7824.10</t>
  </si>
  <si>
    <t>OP. DE MOTONIVELADORA DE ACABAMENTO</t>
  </si>
  <si>
    <t>Opera máquina niveladora munida de uma lâmina ou um escarificador e movida por autopropulsão ou por reboque, manipulando os comandos de marcha e direção, para nivelar terrenos na construção de edifícios, estradas, pistas de aeroportos e de outras obras.</t>
  </si>
  <si>
    <t>715110-M</t>
  </si>
  <si>
    <t>410105-O</t>
  </si>
  <si>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</si>
  <si>
    <t>ENCARREGADO (A) ADMINISTRATIVO DE OBRA</t>
  </si>
  <si>
    <t>312105-TM</t>
  </si>
  <si>
    <t>TECNICO EM MEDIÇÃO</t>
  </si>
  <si>
    <t>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</si>
  <si>
    <t>FISICO: RUIDO, RADIAÇÃO NÃO IONIZANTE. 
ERGONOMICO: POSTURA INADEQUADA
ACIDENTE: QUEDA DE MESMO NÍVEL..</t>
  </si>
  <si>
    <t>DESCRIÇÃO SINTÉTICA:
	Auxiliar na elaborar, medições da obras, assegurar que as medições sejam conduzidas de forma a garantir precisão, rastreabilidade e confiabilidade nos resultados
DESCRIÇÃO DETALHADA:
	Auxilia na elaborar elaboração de estratégias antes da execução de qualquer medição, garantindo que cada etapa seja conduzida de maneira precisa e confiável. Na metrologia, onde a exatidão dos resultados é crucial, o planejamento da medição desempenha um papel vital
	Recursos naturais, serviços de equipamentos urbanos, rurais e regionais, entre outros;
	Estudar características, especificações e preparar plantas, orçamentos de custos,técnicas de execução e outros dados, para possibilitar e orientar a construção,manutenção e reparo das obras, dentro dos padrões técnicos exigidos;
	Precisão é fundamental para garantir que as medições reflitam com precisão as características do objeto medido.  A rastreabilidade, por sua vez, permite a conexão entre as medições realizadas e os padrões de referência.  Já a confiabilidade dos resultados é crucial para tomadas de decisão informadas
	Realizar treinamento na área de atuação, quando solicitado;
	Atuar, na qualidade de instrutor de treinamentos e outros eventos de igual natureza,mediante participação prévia em processo de qualificação e autorização superior;
	Operar equipamentos e sistemas de informática e outros, quando autorizado e
	Necessário ao exercício das demais atividades;Compreenda as exigências específicas de cada medição. Considere a natureza da grandeza a ser medida e os requisitos de precisão; Determine a precisão necessária para os resultados desejados. Escolha instrumentos que atendam ou excedam essas exigências; Considere a faixa de valores a ser medida. Certifique-se de que os instrumentos selecionados cubram adequadamente essa faixa; Escolha a tecnologia de medição mais apropriada para a aplicação. Considere fatores como resolução, sensibilidade e tempo de resposta.  Verifique se os instrumentos estão em conformidade com os padrões de referência. Certifique-se de que são calibrados e mantidos regularmente;  steja ciente das limitações orçamentárias e procure um equilíbrio entre custo e qualidade. Priorize a qualidade do instrumento, pois isso impactará diretamente na confiabilidade das medições. 
Ao seguir esses passos, você estará mais bem preparado para escolher os instrumentos que melhor atendem às necessidades específicas de suas medições, garantindo resultados precisos e confiáveis. 
	Dirigir veículos leves, mediante autorização prévia, quando necessário ao exercício das demais atividades;</t>
  </si>
  <si>
    <t>CARGO: TECNICO EM MEDIÇÕES 
FUNÇÃO: TECNICO EM MEDIÇÕES
CBO:</t>
  </si>
  <si>
    <t>2524-05</t>
  </si>
  <si>
    <t>ANALISTA DE RECRUTAMENTO E SELEÇÃO</t>
  </si>
  <si>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</si>
  <si>
    <t xml:space="preserve">FISICO: RUIDO, RADIAÇÃO NÃO IONIZANTE. 
ERGONOMICO: POSTURA INADEQUADA
ACIDENTE: QUEDA DE MESMO NÍVEL
</t>
  </si>
  <si>
    <t>DESCRIÇÃO SINTÉTICA:
	Gerenciam pessoas e planejam cargos e salários, promovendo ações de treinamento e desenvolvimento de pessoas. Realizam um processo de recrutamento e seleção, gerando planos de benefícios e promovendo qualidade de vida e atendimento aos colaboradores DESCRIÇÃO DETALHADA:
	Recebimento de documentos e correspondências, assim como sua organização.
	Digitação de documentos.
	Elaboração e preenchimento de planilhas de controle interno.
	Auxílio ao departamento financeiro com lançamento.
	Auxiliar operações diárias das funções e obrigações de RH
	Compilar e atualizar registros do funcionário (cópias impressas e digitais)
	Processar a documentação e preparar relatórios relacionados com as atividades do pessoal (agenciamento, recrutamento, treinamento, reclamações, avaliações de desempenho etc.)
	Solicitações de funcionário relacionadas com problemas, regras e regulamentos de recursos humanos
	Auxiliar na preparação da folha de pagamento fornecendo dados relevantes (ausências, bônus, licenças etc.)
	Elaborar Relatórios e documentação mensais ao cliente
	Conduzir a orientação inicial para funcionários recentemente contratados
	Auxiliar os nossos recrutadores na seleção de candidatos e atualizar o nosso banco de dados.
	Apoiar os processos de admissão, integração e desligamento; 
	Elaboração e preenchimento de planilhas de controles. Exemplo: controle de férias dos colaboradores; 
	Fazer a gestão de ponto;
	Responder dúvidas e solicitações dos colaboradores acerca dos processos do RH
	Auxiliar o no lançamento benefícios e adicionais que incidem na folha de pagamento
	Suporte as rotinas do departamento Pessoal; 
	Atendimento interno à colaboradores.</t>
  </si>
  <si>
    <t>CARGO: ANALISTA DE RECRUTAMENTO E SELEÇÃO CBO- 2524-05</t>
  </si>
  <si>
    <t>7151.40</t>
  </si>
  <si>
    <t xml:space="preserve">MOTORISTA ESPARGIDOR </t>
  </si>
  <si>
    <t>Planejam o trabalho, realizam manutenção básica de máquinas pesadas e as operam. Removem solo e material orgânico bota-fora , drenam solos e executam construção de aterros. Realizam acabamento em pavimentos e cravam estacas.</t>
  </si>
  <si>
    <t>7825.10-C</t>
  </si>
  <si>
    <t>Coordena e discutir com os encarregados instruções técnicas do projeto a ser desenvolvido. Interpretarplantas, gráficos e escalas. Orientar e acompanhar a equipe quanto a execução dos trabalhos cumprindo o cronograma. Coordenar a instalação e utilização de equipamentos e estruturas construtivas em canteiros de obra. Participar da instalação do canteiro de obras, demarcando a obra, conforme projeto.</t>
  </si>
  <si>
    <t>710205-G</t>
  </si>
  <si>
    <t>ENCARREGADO (A) DE OBRA GERAL</t>
  </si>
  <si>
    <t>ENCARREGADO (A) DE TERRAPLANAGEM</t>
  </si>
  <si>
    <t>2149-35</t>
  </si>
  <si>
    <t xml:space="preserve"> AUXILIAR SEGURANÇA DO TRABALHO</t>
  </si>
  <si>
    <t>Controlam perdas de processos, produtos e serviços ao identificar, determinar e analisar causas de perdas, estabelecendo plano de ações preventivas e corretivas. Desenvolvem, testam e supervisionam sistemas, processos e métodos produtivos, gerenciam atividades de segurança do trabalho e do meio ambiente, planejam empreendimentos e atividades produtivas e coordenam equipes, treinamentos e atividades de trabalho.</t>
  </si>
  <si>
    <t>FISICO: RUIDO, RADIAÇÃO NÃO IONIZANTE.
ERGONOMICO: POSTURA INADEQUADA
ACIDENTE:QUEDA DE MESMO NÍVEL.</t>
  </si>
  <si>
    <t>DESCRIÇÃO SINTÉTICA:
	Orienta os funcionários a utilizar os EPI's de forma correta, estabelece normas de segurança, informa sobre meios de prevenção de acidentes, inspeciona áreas de trabalho a fim de verificar as condições do ambiente e checa equipamentos usados para determinar possíveis fatores de risco.Aplicar os conhecimentos de segurança e medicina do trabalho, de modo a reduzir e eliminar os riscos à saúde do trabalhador.
DESCRIÇÃO DETALHADA:
	Principal responsabilidade é minimizar, controlar e eliminar os riscos à saúde dos trabalhadores.Orientar e coordenar o sistema de segurança do trabalho, investigando riscos
E causas de acidentes e analisando esquemas de prevenção, para garantir a Integridade dos colaboradores;
	Inspecionar locais, instalações e equipamentos coletivos e individuais, observando as condições de trabalho, para determinar fatores e riscos de acidentes;
	Estabelecer normas e dispositivos de segurança, sugerindo eventuais modificações nos equipamentos e instalações e verificando sua observância, para prevenir acidentes;
	Inspecionar os postos de combate a incêndios, examinando as mangueiras,
Hidrantes, extintores e equipamentos de proteção contra incêndios, para certificar-se de suas perfeitas condições de funcionamento;
	Comunicar os resultados de suas inspeções, elaborando relatórios, para propor a reparação ou renovação do equipamento de extinção de incêndios e outras medidas de segurança;
	Registrar acidentes ocorridos, examinando as condições da ocorrência, para
	Identificar suas causas e propor as providências cabíveis;
	Manter contato com os serviços médico e social da empresa ou de outra instituição,utilizando os meios de comunicação oficiais, para facilitar o atendimento necessário aos acidentados;
	Registrar irregularidades ocorridas, anotando-as em formulários próprios e elaborando estatísticas de acidentes, para obter subsídios destinados à melhoria das medidas de segurança;
	Buscar seu próprio desenvolvimento profissional;
	Instruir os funcionários da empresa sobre normas de segurança, combate a incêndios e demais medidas de prevenção de acidentes, ministrando palestras e treinamento,para que possam agir acertadamente em casos de emergência; É o profissional responsável pela prevenção de acidentes por promover a qualidade de vida no ambiente de trabalho e zelar pela segurança física dos empregados.</t>
  </si>
  <si>
    <t>CARGO: AULIAR SEGURANÇA DO TRABALHO
FUNÇÃO: GESTÃO SMS E OUTROS. 
CBO: 351605</t>
  </si>
  <si>
    <t>TECNICO EM MEIO AMBIENTE</t>
  </si>
  <si>
    <t>Elaboram e implantam projetos ambientais , gerenciam a implementação do sistema de Gestão Ambiental (SGA) nas empresas, implementam ações de controle de emissão de poluentes, administram resíduos e procedimentos de remediação. Podem prestar consultoria, assistência e assessoria.</t>
  </si>
  <si>
    <t>DESCRIÇÃO SINTÉTICA:
	Profissionais que atuar na gestão e preservação dos recursos naturais, com foco em soluções sustentáveis para os desafios ambientais
DESCRIÇÃO DETALHADA:
	Responsável por monitorar e propor soluções para questões ambientais, como gestão de resíduos, análise da qualidade do ar, solo e água, e elaboração de projetos de preservação. Ele também atua na fiscalização de atividades para garantir que estejam de acordo com a legislação ambiental e realiza campanhas de conscientização e educação. Além disso, pode prestar consultoria e assessoria a empresas, orientando sobre práticas sustentáveis e ajudando na obtenção de licenças ambientais. Em suma, seu trabalho busca promover a sustentabilidade e a recuperação de áreas degradadas.
	Recursos naturais, serviços de equipamentos urbanos, rurais e regionais, entre outros;
	Avaliar os impactos causados por resíduos sólidos, atmosféricos e águas residuais, identificando as consequências sobre o ambiente, propondo estratégias de gerenciamento, redução, reciclagem, tratamento e disposição final adequada;
	Auxiliar de fiscalização ambiental é responsável por auxiliar em vistorias, visitas e análises técnicas, em diferentes ambientes, como obras, indústrias, áreas de preservação ambiental, entre outros;
	Realizar treinamento na área de atuação, quando solicitado;
	Atuar, na qualidade de instrutor de treinamentos e outros eventos de igual natureza,mediante participação prévia em processo de temas Ambientais;
	Operar equipamentos e sistemas de informática e outros, quando autorizado e
	Desempenha diversas funções relacionadas à preservação, monitoramento e gestão ambiental em diferentes setores e contextos. Suas responsabilidades podem variar, mas geralmente incluem a realização de levantamentos e análises ambientais, elaboração e implementação de planos de gestão ambiental, acompanhamento de licenciamentos ambientais, fiscalização de atividades que impactam o meio ambiente, elaboração de relatórios técnicos, educação ambiental, entre outras atividades.
Eles precisam ter um conhecimento sólido sobre legislação ambiental, técnicas de monitoramento e avaliação ambiental, além de habilidades em comunicação e trabalho em equipe.
No dia a dia, um técnico em meio ambiente pode estar envolvido em projetos como a recuperação de áreas degradadas, o controle da poluição, a gestão de resíduos, a implementação de práticas sustentáveis em empresas, entre outros. 
Seu trabalho é fundamental para garantir o equilíbrio entre o desenvolvimento econômico e a preservação dos recursos naturais, visando a sustentabilidade ambiental e o bem-estar das gerações presentes e futuras.
	Dirigir veículos leves, mediante autorização prévia, quando necessário ao exercício das demais atividades;</t>
  </si>
  <si>
    <t>CARGO: TECNICO EM MEIO AMBIENTE
FUNÇÃO: TECNICO EM MEIO AMBIENTE
CBO:214010</t>
  </si>
  <si>
    <t>7102.15</t>
  </si>
  <si>
    <t>CARGO: ENCARREGADO  DE TERRAPLANAGEM
FUNÇÃO: ENCARREGADO DE TERRAPLANAGEM
CBO: 7102.15</t>
  </si>
  <si>
    <t>DESCRIÇÃO SINTÉTICA:
Atuar em atividades relativas à área de organização, coordenação 
e supervisão de construção civil, pavimentação e terraplanagem.
DESCRIÇÃO DETALHADA:
Organizar, coordenar e supervisionar grupos de trabalhadores que desenvolvem suas atribuições na área da construção civil, infraestrutura e pavimentação;
Garantir o desenvolvimento do processo de execução das obras dentro dos
Prazos e normas estabelecidas;
Providenciar que as pessoas sob o seu comando utilizem equipamentos de
Proteção individual (EPI), de acordo com as normas de segurança em vigor;
Empenhar-se em buscar seu próprio desenvolvimento profissional;
Buscar o desenvolvimento pessoal e profissional das pessoas que atuam sob seu comando;
Acompanhar a evolução profissional das pessoas sob seu comando;
Manter ou desenvolver visando o desempenho apropriado de suas funções,
Atuar na qualidade de instrutor de treinamentos e outros eventos de igual
Natureza, mediante participação prévia em processo de qualificação e
Autorização superior;
Dirigir veículos leves, mediante autorização prévia, quando necessário ao
Exercício das demais atividades;
Manter organizados, limpos e conservados os materiais, máquinas,
Equipamentos e local de trabalho, que estão sob sua responsabilidade</t>
  </si>
  <si>
    <t>MOTORISTA OPERADOR DE MUNCK</t>
  </si>
  <si>
    <t xml:space="preserve">DESCRIÇÃO SINTÉTICA:
 Condução de veículos de médio e grande porte; opera caminhão do tipo guincho, para remoção de veículos Mantém o caminhão guincho preparado para atender às solicitações, verificando as suas condições de funcionamento.
DESCRIÇÃO DETALHADA:
 Dirigir veículos de médio e grande porte; Motorista de Caminhão-guincho Pesado Com Munk.
 Transportar materiais, equipamentos e documentos; Dirigir o caminhão trucado – UMC, operar guindauto acoplado para movimentar pesos ou peças, verificar e validar as condições de manutenção do caminhão e do guindauto, organizar e limpar a cabine e carroceria do caminhão.
  E equipamento de grande porte utilizado para operações como a descarga e o içamento de cargas além do transporte de cargas. Ele é utilizado em ambientes de trabalho pesado, como canteiros de obras.Verificar, diariamente, as condições de funcionamento do veículo, antes de sua Utilização;
 Comunicar a chefia imediata por escrito assinando a comunicação da necessidade de reparos no veículo;
 Zelar pela segurança de passageiros no caso de ajudante;
 Orientar e auxiliar na carga e descarga de materiais;
 Amarrar a carga e conferir;
 Atentar – se ao peso da carga e zelar pelo equipamento;
 Registrar dados preestabelecidos, sobre a utilização diária do veículo;
 Verificar, trocar ou completar, se necessário cotidianamente o óleo, a água e o
Combustível;
 Efetuar limpeza dos materiais que ficam encostados na caçamba;
 Limpar placas, faróis e sinaleiros dos veículos utilizados;
 Estar sempre atualizado com as leis e normas de trânsito e respeita- las;
 Realizar treinamento na área de atuação, quando solicitado;
 Utilizar a carga horária que lhe é pertinente com zelo, dedicação, responsabilidade e a serviço da Empresa;
 Manter organizados, limpos e conservados os materiais, máquinas, equipamentos e local de trabalho, que estão sob sua responsabilidade;
 Operar de acordo com a capacidade e especificações do fabricante.
</t>
  </si>
  <si>
    <t>CARGO: SERVIÇO DE CONDUÇÃO DE VEÍCULOS DE MÉDIO E GRANDE PORTE.
FUNÇÃO: MOTORISTA OPERADOR DE MUNCK
CBO: 7825-15</t>
  </si>
  <si>
    <t>SOLDADOR</t>
  </si>
  <si>
    <t>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t>
  </si>
  <si>
    <t>FISICO: RUIDO,  RADIAÇÃO NÃO IONIZANTE.
QUIMICO: DERTEGENTE DESENGRAXANTES, DIESEL ÓLEOS LUBRIFICANTES E GRAXAS.
ERGONOMICO: POSTURA EM PÉ POR LONGO PERÍODOS
ACIDENTE: CORTE PERFURAÇÕES E QUEDA DE MESMO NIVEL.</t>
  </si>
  <si>
    <t xml:space="preserve">DESCRIÇÃO SINTÉTICA:
	Atuar em atividades relativas à área de montagem, desmontagem, reparo e
manutenção de máquinas pesadas; trabalhadores de soldagem e corte de ligas metálicas que pertence ao grupo dos trabalhadores da transformação de metais e de compósitos
DESCRIÇÃO DETALHADA:
	Trabalhadores de soldagem e corte de ligas metálicas que pertence ao grupo dos trabalhadores da transformação de metais e de compósitos;
	Controlar a velocidade de soldagem; soldar em uma ou mais posições (vertical, horizontal, etc.); soldar um ou mais materiais; controlar temperatura de interpasse; eliminar o sopro magnético; limpar ferramentas; trocar o arame no circuito alimentador ou pistola; reparar a solda (esmerilhando, goivando etc);
	Faz corte de peças metálicas, solda em aço carbono e aço inox, furos, chapas e equipamentos, utilizando processos de soldagem e corte, como: eletrodo revestido, TIG, MIG, MAG, oxigás, arco submerso, brasagem e plasma.;
	Une peças de ligas metálicas, por pressão ou fusão, considerando conjuntos, estruturas, tubos, chapas e perfis Define e prepara o processo de soldagem de acordo com a peça a ser executada, seguindo desenhos e especificações técnicas;
	Prepara peças metálicas para soldagem, realizando inspeção visual, preaquecendo a peça com maçaricos, chanfrando, escovando e goivando as peças;
	Aplica removedores para retirada de sujidade da superfície Define o material de adição de acordo com o metal de base e com o processo a ser aplicado, o tipo de eletrodo, o bico do maçarico e tipo de gás, a regulagem de manômetros.
	Controla o aquecimento local da peça, o derretimento do consumível no processo de soldagem e o resfriamento da peça Controla as posições de soldagem e o ângulo do maçarico;
	Controla e ajusta parâmetros de soldagem de acordo com as Instruções de Execução e Inspeção de Soldagem (IEIS)., zelo, responsabilidade e tão somente a serviço da empresa;
	Realizar treinamento na área de atuação, quando solicitado;
	Zelar pela limpeza, conservação e manutenção dos aparelhos, ferramentas e
ambiente de trabalho;Verifica o acabamento de superfície da solda na peça, a qualidade do cordão de solda, no que se refere a tensões, trincas e deformações, eliminando escórias e fumus Pode executar operações básicas de medição, limagem, serragem, furação, corte de chapa, entre outras; Pode montar e pontear elementos de peças metálicas; Pode executar soldagem de manutenção e recuperação de peças metálicas - no que se refere a trincas ou fraturas, por exemplo -, considerando os custos da matéria-prima, energia, insumos e mão de obra envolvida Organiza o local de trabalho, isolando e limpando a área de atuação e seguindo procedimentos de manuseio e de armazenamento de máquinas, equipamentos, acessórios e consumíveis Segue Instruções de Execução e Inspeção de Soldagem (IEIS), com consulta a desenhos, documentação e especificações técnicas; Segue rigorosamente as normas regulamentadoras e os procedimentos de segurança e saúde no trabalho em processos de soldagem, cumprindo a utilização de equipamentos de proteção individual e coletiva Mantém tais equipamentos organizados, acondicionados e em plenas condições de uso e funcionamento Aplica procedimentos de qualidade e de produtividade na realização das atividades; Cumpre normas de preservação ambiental, descartando e destinando resíduos de acordo com normas e procedimentos Controla o funcionamento de máquinas e equipamentos e as condições de plena utilização de consumíveis, acessórios e materiais, requisitando manutenção e substituições.
</t>
  </si>
  <si>
    <t>CARGO: SOLDADOR 
FUNÇÃO:  SOLDADOR 
CBO: 9724315</t>
  </si>
  <si>
    <t xml:space="preserve">Desenvolvem projetos de engenharia civil, executam obras, planejam, orçam e contratam empreendimentos, coordenam a 
operação e a manutenção dos mesmos. Controlam a qualidade dos suprimentos e serviços comprados e executados. Elaboram 
normas e documentação técnica. Podem prestar consultorias.  </t>
  </si>
  <si>
    <t>ENCARREGADO DE DRENAGEM</t>
  </si>
  <si>
    <t>7102-05 D</t>
  </si>
  <si>
    <t xml:space="preserve">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 </t>
  </si>
  <si>
    <t xml:space="preserve">
CARGO OU FUNÇÃO: ENCARREGADO DE DRENAGEM 
CBO: 7102-05</t>
  </si>
  <si>
    <t>ENCARREGADO DE SINALIZAÇÃO</t>
  </si>
  <si>
    <t>SERRA CIRCULAR, MAKITA, FERRAMENTAS ELÉTRICAS E DIVERSAS</t>
  </si>
  <si>
    <t>78 21-45-E</t>
  </si>
  <si>
    <t>Supervisionam equipes de trabalhadores na sinalização viária  que atuam em obras de rodovias e canteiros de obras, orientar, disciplinar e alertar o tráfego e equipe de sinalização.</t>
  </si>
  <si>
    <t>DESCRIÇÃO SINTÉTICA:
Atuar em atividades relativas à área de organização, coordenação 
e supervisão de sinalização de rodovias.
DESCRIÇÃO DETALHADA:
Organizar, coordenar e supervisionar grupos de trabalhadores que desenvolvem suas atribuições na área da  sinalização viaria;
Garantir o desenvolvimento do processo de execução das obras dentro dos
Prazos e normas estabelecidas;
Providenciar que as pessoas sob o seu comando utilizem equipamentos de
Proteção individual (EPI), de acordo com as normas de segurança em vigor;
Empenhar-se em buscar seu próprio desenvolvimento profissional;
Buscar o desenvolvimento pessoal e profissional das pessoas que atuam sob seu comando;
Acompanhar a evolução profissional das pessoas sob seu comando;
Manter ou desenvolver visando o desempenho apropriado de suas funções,
Atuar na qualidade de instrutor de treinamentos e outros eventos de igual
Natureza, mediante participação prévia em processo de qualificação e
Autorização superior;
Dirigir veículos leves, mediante autorização prévia, quando necessário ao
Exercício das demais atividades;
Manter organizados, limpos e conservados os materiais, máquinas,
Equipamentos e local de trabalho, que estão sob sua responsabilidade</t>
  </si>
  <si>
    <t>CARGO: ENCARREGADO  DE  SINALIZAÇÃO
FUNÇÃO: ENCARREGADO DE  SINALIZAÇÃO
CBO: 7121.45-E</t>
  </si>
  <si>
    <t>BANDEIRINHA (HOMEM BANDEIRA)</t>
  </si>
  <si>
    <t>Para orientar, disciplinar e alertar o tráfego, deve estar uniformizado e equipado durante o dia com bandeira confeccionada em tecido ou plástico flexível.</t>
  </si>
  <si>
    <t>DESCRIÇÃO SINTÉTICA:
ATUAR EM ATIVIDADE DE  Trabalho do Homem-Bandeira na Rodovia
DESCRIÇÃO DETALHADA:
Como elemento de controle do fluxo de tráfego, o Homem-Bandeira é essencial em situações de alto risco, como elevado volume de tráfego, altas velocidades, má visibilidade, necessidade de interrupção do fluxo e obras móveis na pista.
Para orientar, disciplinar e alertar o tráfego, deve estar uniformizado e equipado durante o dia com bandeira confeccionada em tecido ou plástico flexível na cor vermelha com a forma de um quadrado de 60cm de lado, anexada a um bastão de madeira. Para trabalho noturno, comumente é substituído por placa de sinalização iluminada, mas quando sua presença é indispensável, como no caso de fluxo intenso de veículo, deve portar lanterna ou bastão sinalizador.
Como EPI é obrigatório o uso de bota de segurança com bico de aço, uniforme de alta visibilidade com faixa refletiva (se não tiver a faixa refletiva no uniforme, usar colete de alta visibilidade com a faixa), protetor auricular e óculos de segurança, sendo indicado para o dia os de lente cinza e para noite lentes transparentes ou, o ideal, lentes amarelas que aumentam a visibilidade e ofuscam a luminosidade direta do farol na direção dos olhos.
Essa tarefa, por ser considerada de risco, deve ser realizada por funcionário capaz, bem treinado e orientado para seguir alguns procedimentos básicos, transmitindo aos motoristas sinais uniformes, precisos e de rápida compreensão:
Para parar o fluxo de tráfego: Voltado para o fluxo de tráfego, estender a bandeira horizontalmente à altura do ombro e perpendicularmente à faixa de rolamento. Para maior ênfase, permanecer com a mão espalmada para o condutor do veículo. Para dar informação de siga: Paralelamente ao fluxo de tráfego, baixar a bandeira e com a mão livre efetuar os gestos de solicitação de prosseguimento de circulação.ara advertir: Voltado para o fluxo de tráfego, permanecer com o braço livre estendido ao longo do corpo e elevar e abaixar a bandeirinha seguida e frontalmente ao fluxo.
Embora a permanência na faixa de bordo, ao lado do canteiro central, não seja uma prática segura, algumas rodovias determinam esse posicionamento ao Homem-Bandeira para o fechamento da faixa 1 de rolamento (a mais próxima do canteiro central). Neste caso, manter a sua frente, no mínimo 3 cones, espaçados de 50/50 m, colocados na lateral externa da faixa de bordo, ou seja, dentro da faixa de rolamento. Estes cones terão a finalidade de alertar ao usuário sobre a presença do homem-bandeira, aumentando assim sua segurança. Para posicionamento no canteiro lateral, acostamento, os cones são dispensados, mas não a atenção do trabalhador e seu posicionamento voltado para o fluxo.
O canteiro lateral, frisa-se, é adotado por várias rodovias como posicionamento do Homem-Bandeira independente da faixa a ser interditada. As que exigem sua permanência ao lado do canteiro central, adotam o lateral para o caso de fechamento da faixa 2 e/ou canteiro lateral.
Geralmente são usados dois Homens-Bandeira. O primeiro a 400m do início do fechamento e o segundo a 200m do primeiro, variando a distância e necessidade de acordo com o trabalho e fechamento executado.
No caso de congestionamento ou lentidão do trânsito, o primeiro Homem-Bandeira deve se deslocar, sempre pelo acostamento, para 200m antes do ultimo veículo da fila, fazendo a Sinalização de Final de Fila.
Atenção para lombadas, curvas, pontes ou viadutos: sempre localizar o Sinalizador antes, ainda que isso implique maior distanciamento entre a sinalização vertical (placas) ou horizontal (inscrição no chão), jamais no meio ou logo após curva, lombada, ponte ou viaduto, evitando surpreender o motorista.
Em qualquer caso, deve posicionar-se em local visível, livre de circulação de veículos e sua presença advertida através da colocação de placas sinalizadoras ou cones.
É responsabilidade do encarregado, feitor ou responsável pelas frentes de serviços, definir e acompanhar o posicionamento dos homens-bandeira, evitando assim sua colocação em locais de elevado risco de acidente, tais como: após lombada, após ou no meio de curvas, no meio das faixas de rolamento.
Tendo em vista o desgaste que esse tipo de operação acarreta e a necessidade dos operadores se manterem alerta, recomenda-se que eles sejam trocados no máximo a cada duas horas para descanso.
Não esquecer, ainda, de munir o profissional com garrafa térmica contendo 250ml de água por hora de trabalho.</t>
  </si>
  <si>
    <t>CARGO: BANDEIRINHA (HOMEM BANDEIRA)
FUNÇÃO: SERVIÇOS SINALIZAÇÕA DE RODOVIAS
CBO: 7170-20</t>
  </si>
  <si>
    <t>78 21-45-B</t>
  </si>
  <si>
    <t>78 21-45-S</t>
  </si>
  <si>
    <t xml:space="preserve">SINALEIRO </t>
  </si>
  <si>
    <t>DESCRIÇÃO SINTÉTICA:
ATUAR EM ATIVIDADE DE  SINALEIRO E TRABALHO DE HOMEM BANDEIRA NA RODOVIA
DESCRIÇÃO DETALHADA:
Como elemento de controle do fluxo de tráfego, o sinaleiro e  Homem-Bandeira é essencial em situações de alto risco, como elevado volume de tráfego, altas velocidades, má visibilidade, necessidade de interrupção do fluxo e obras móveis na pista.
Para orientar, disciplinar e alertar o tráfego, deve estar uniformizado e equipado durante o dia com bandeira confeccionada em tecido ou plástico flexível na cor vermelha com a forma de um quadrado de 60cm de lado, anexada a um bastão de madeira. Para trabalho noturno, comumente é substituído por placa de sinalização iluminada, mas quando sua presença é indispensável, como no caso de fluxo intenso de veículo, deve portar lanterna ou bastão sinalizador.
Como EPI é obrigatório o uso de bota de segurança com bico de aço, uniforme de alta visibilidade com faixa refletiva (se não tiver a faixa refletiva no uniforme, usar colete de alta visibilidade com a faixa), protetor auricular e óculos de segurança, sendo indicado para o dia os de lente cinza e para noite lentes transparentes ou, o ideal, lentes amarelas que aumentam a visibilidade e ofuscam a luminosidade direta do farol na direção dos olhos.
Essa tarefa, por ser considerada de risco, deve ser realizada por funcionário capaz, bem treinado e orientado para seguir alguns procedimentos básicos, transmitindo aos motoristas sinais uniformes, precisos e de rápida compreensão:
Para parar o fluxo de tráfego: Voltado para o fluxo de tráfego, estender a bandeira horizontalmente à altura do ombro e perpendicularmente à faixa de rolamento. Para maior ênfase, permanecer com a mão espalmada para o condutor do veículo. Para dar informação de siga: Paralelamente ao fluxo de tráfego, baixar a bandeira e com a mão livre efetuar os gestos de solicitação de prosseguimento de circulação.ara advertir: Voltado para o fluxo de tráfego, permanecer com o braço livre estendido ao longo do corpo e elevar e abaixar a bandeirinha seguida e frontalmente ao fluxo.
Embora a permanência na faixa de bordo, ao lado do canteiro central, não seja uma prática segura, algumas rodovias determinam esse posicionamento ao Homem-Bandeira para o fechamento da faixa 1 de rolamento (a mais próxima do canteiro central). Neste caso, manter a sua frente, no mínimo 3 cones, espaçados de 50/50 m, colocados na lateral externa da faixa de bordo, ou seja, dentro da faixa de rolamento. Estes cones terão a finalidade de alertar ao usuário sobre a presença do homem-bandeira, aumentando assim sua segurança. Para posicionamento no canteiro lateral, acostamento, os cones são dispensados, mas não a atenção do trabalhador e seu posicionamento voltado para o fluxo.
O canteiro lateral, frisa-se, é adotado por várias rodovias como posicionamento do Homem-Bandeira independente da faixa a ser interditada. As que exigem sua permanência ao lado do canteiro central, adotam o lateral para o caso de fechamento da faixa 2 e/ou canteiro lateral.
Geralmente são usados dois Homens-Bandeira. O primeiro a 400m do início do fechamento e o segundo a 200m do primeiro, variando a distância e necessidade de acordo com o trabalho e fechamento executado.
No caso de congestionamento ou lentidão do trânsito, o primeiro Homem-Bandeira deve se deslocar, sempre pelo acostamento, para 200m antes do ultimo veículo da fila, fazendo a Sinalização de Final de Fila.
Atenção para lombadas, curvas, pontes ou viadutos: sempre localizar o Sinalizador antes, ainda que isso implique maior distanciamento entre a sinalização vertical (placas) ou horizontal (inscrição no chão), jamais no meio ou logo após curva, lombada, ponte ou viaduto, evitando surpreender o motorista.
Em qualquer caso, deve posicionar-se em local visível, livre de circulação de veículos e sua presença advertida através da colocação de placas sinalizadoras ou cones.
É responsabilidade do encarregado, feitor ou responsável pelas frentes de serviços, definir e acompanhar o posicionamento dos homens-bandeira, evitando assim sua colocação em locais de elevado risco de acidente, tais como: após lombada, após ou no meio de curvas, no meio das faixas de rolamento.
Tendo em vista o desgaste que esse tipo de operação acarreta e a necessidade dos operadores se manterem alerta, recomenda-se que eles sejam trocados no máximo a cada duas horas para descanso.
Não esquecer, ainda, de munir o profissional com garrafa térmica contendo 250ml de água por hora de trabalho.</t>
  </si>
  <si>
    <t>CARGO: sinaleiro
FUNÇÃO: SERVIÇOS  DE SINALEIRO DE RODOVIA
CBO: 7821-45-S</t>
  </si>
  <si>
    <t>MOTORISTA DE CAMINHAO</t>
  </si>
  <si>
    <r>
      <t xml:space="preserve">MEDIDAS INDIVIDUAIS (EPI): </t>
    </r>
    <r>
      <rPr>
        <sz val="10"/>
        <color theme="1"/>
        <rFont val="Arial"/>
        <family val="2"/>
      </rPr>
      <t xml:space="preserve">BOTINA DE SEGURANÇA, PROTETOR AURICULAR TIPO PLUG, MÁSCARA TIPO, ÓCULOS DE SEGURANÇA,    CAPACETE COM JUGULAR. </t>
    </r>
  </si>
  <si>
    <t>PAR DE LUVAS PIGMENTA</t>
  </si>
  <si>
    <t xml:space="preserve">NIVELADOR </t>
  </si>
  <si>
    <t>312320-T</t>
  </si>
  <si>
    <t xml:space="preserve">Certificamos que o Sr.(a) </t>
  </si>
  <si>
    <t>GABRIEL GONÇALVES DE LIMA</t>
  </si>
  <si>
    <t>2008061783-7</t>
  </si>
  <si>
    <r>
      <rPr>
        <sz val="14"/>
        <color theme="1"/>
        <rFont val="Arial"/>
        <family val="2"/>
      </rPr>
      <t xml:space="preserve">promovido pelo SESMT da EmpresaAahbrant Engenharia e Construções LTDA, CNPJ 23.837.456/0002-97 </t>
    </r>
    <r>
      <rPr>
        <sz val="16"/>
        <color theme="1"/>
        <rFont val="Arial"/>
        <family val="2"/>
      </rPr>
      <t>,</t>
    </r>
  </si>
  <si>
    <t>sede da empresa AV PRESIDENTE EPITACIO PESSOA, 753,ANDAR 11 SALA 1108,ESTADOS, JOAO PESSOA-PB</t>
  </si>
  <si>
    <t>AV PRESIDENTE EPITACIO PESSOA, 753,ANDAR 11 SALA 1108</t>
  </si>
  <si>
    <t>ESTADOS, JOAO PESSOA-PB</t>
  </si>
  <si>
    <t>promovido pelo SESMT da Empresa  Aahbrant Engenharia e Construções LTDA, CNPJ 23.837.456/0002-97</t>
  </si>
  <si>
    <t>AV PRESIDENTE EPITACIO PESSOA, 753,ANDAR 11 SALA 1108,ESTADOS, JOAO PESSOA-PB</t>
  </si>
  <si>
    <t>OBRA BEIRA RIO</t>
  </si>
  <si>
    <t>Aahbrant Engenharia e Construções LTDA</t>
  </si>
  <si>
    <t>BEIRA RIO</t>
  </si>
  <si>
    <t>SALA DE TREINAMENTO-SEDE AAHBRANT</t>
  </si>
  <si>
    <r>
      <t xml:space="preserve">promovido pelo SESMT da Empresa </t>
    </r>
    <r>
      <rPr>
        <b/>
        <sz val="16"/>
        <color theme="1"/>
        <rFont val="Arial"/>
        <family val="2"/>
      </rPr>
      <t xml:space="preserve">, </t>
    </r>
    <r>
      <rPr>
        <sz val="16"/>
        <color theme="1"/>
        <rFont val="Arial"/>
        <family val="2"/>
      </rPr>
      <t>Aahbrant Engenharia e Construções LTDA, CNPJ 23.837.456/0002-9</t>
    </r>
  </si>
  <si>
    <t>sede da empresa na AV PRESIDENTE EPITACIO PESSOA, 753,ANDAR 11 SALA 1108,ESTADOS, JOAO PESSOA-PB.</t>
  </si>
  <si>
    <t>JOÁO PESSOA, PB</t>
  </si>
  <si>
    <t>ASSINATURA  INSTRUTOR DO TREINAMENTO</t>
  </si>
  <si>
    <t>sede da empresa na sede da empresa AV PRESIDENTE EPITACIO PESSOA, 753,ANDAR 11 SALA 1108,ESTADOS, JOAO PESSOA-PB</t>
  </si>
  <si>
    <t>JOÃO PESOA-PB</t>
  </si>
  <si>
    <t>promovido pelo SESMT da Empresa, Aahbrant Engenharia e Construções LTDA, CNPJ 23.837.456/0002-97</t>
  </si>
  <si>
    <t>realizado na – sede da empresa AV PRESIDENTE EPITACIO PESSOA, 753,ANDAR 11 SALA 1108,ESTADOS, JOAO PESSOA-PB</t>
  </si>
  <si>
    <t xml:space="preserve">JOÁO PESSOA, PB, data: </t>
  </si>
  <si>
    <t xml:space="preserve">AAHBRANT ENGENHARIA E CONSTRUÇÕES LTDA </t>
  </si>
  <si>
    <t>AAHBRANT ENGENHARIA E CONSTRUÇÕES LTDA</t>
  </si>
  <si>
    <t>SALA DE TREINAMENTO AAHBRANT</t>
  </si>
  <si>
    <t>Proteção contra quedas; Organização e limpeza do canteiro, preservação de equipamentos e ferramentas; Recomendações e Ações de Prevenção Covid 19 conforme legislação vigente; Álcool X Drogas; Manual de Normas e Condutas para Motorista no Trânsito.</t>
  </si>
  <si>
    <t>DAVID SILVA DE OLIVEIRA</t>
  </si>
  <si>
    <t>AJUDANTE  GERAL</t>
  </si>
  <si>
    <t>037.861.836-94</t>
  </si>
  <si>
    <t xml:space="preserve">FABIO DA SILVA AQUINO </t>
  </si>
  <si>
    <t xml:space="preserve">AJUDANTE  DE OBRAS </t>
  </si>
  <si>
    <t>034.512.124-47</t>
  </si>
  <si>
    <t>JOSE ANDRE DE SANTANA CRISPIM</t>
  </si>
  <si>
    <t>068.473.064-24</t>
  </si>
  <si>
    <t>CAPACETE COM JUGULAR MAS</t>
  </si>
  <si>
    <t>RESPIRADOR PFF2VS</t>
  </si>
  <si>
    <t xml:space="preserve">LUCIANO DA SILVA </t>
  </si>
  <si>
    <t>061.167.004-62</t>
  </si>
  <si>
    <t xml:space="preserve">CONJUNTO UNIFORMES </t>
  </si>
  <si>
    <t xml:space="preserve">OCULOS DE SEG. INCOLOR </t>
  </si>
  <si>
    <t xml:space="preserve">WILSON BILIZARO DA SILVA </t>
  </si>
  <si>
    <t xml:space="preserve">, com carga horária de 06 horas. </t>
  </si>
  <si>
    <t>6 HORAS</t>
  </si>
  <si>
    <t>JOSÉ IGOR GALVÃO SILVA</t>
  </si>
  <si>
    <t>711.475.064-18</t>
  </si>
  <si>
    <t>ADMISSÃO</t>
  </si>
  <si>
    <t xml:space="preserve">CAPACETE DE SEG.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</si>
</sst>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50" x14ac:knownFonts="1">
    <font>
      <sz val="11"/>
      <color theme="1"/>
      <name val="Calibri"/>
      <family val="2"/>
      <scheme val="minor"/>
    </font>
    <font>
      <b/>
      <sz val="11"/>
      <color theme="1"/>
      <name val="Calibri"/>
      <family val="2"/>
      <scheme val="minor"/>
    </font>
    <font>
      <b/>
      <sz val="9"/>
      <color theme="1"/>
      <name val="Arial"/>
      <family val="2"/>
    </font>
    <font>
      <sz val="10"/>
      <color theme="1"/>
      <name val="Arial"/>
      <family val="2"/>
    </font>
    <font>
      <b/>
      <sz val="10"/>
      <color theme="1"/>
      <name val="Arial"/>
      <family val="2"/>
    </font>
    <font>
      <b/>
      <sz val="10"/>
      <color rgb="FF000000"/>
      <name val="Arial"/>
      <family val="2"/>
    </font>
    <font>
      <sz val="9"/>
      <color theme="1"/>
      <name val="Arial"/>
      <family val="2"/>
    </font>
    <font>
      <b/>
      <sz val="9"/>
      <color theme="1"/>
      <name val="Tahoma"/>
      <family val="2"/>
    </font>
    <font>
      <sz val="9"/>
      <color theme="1"/>
      <name val="Tahoma"/>
      <family val="2"/>
    </font>
    <font>
      <sz val="8"/>
      <color theme="1"/>
      <name val="Arial"/>
      <family val="2"/>
    </font>
    <font>
      <b/>
      <sz val="11"/>
      <color theme="1"/>
      <name val="Arial"/>
      <family val="2"/>
    </font>
    <font>
      <b/>
      <sz val="16"/>
      <color theme="1"/>
      <name val="Arial"/>
      <family val="2"/>
    </font>
    <font>
      <b/>
      <sz val="12"/>
      <color theme="1"/>
      <name val="Arial Narrow"/>
      <family val="2"/>
    </font>
    <font>
      <sz val="12"/>
      <color theme="1"/>
      <name val="Arial Narrow"/>
      <family val="2"/>
    </font>
    <font>
      <sz val="11"/>
      <color theme="1"/>
      <name val="Arial"/>
      <family val="2"/>
    </font>
    <font>
      <b/>
      <sz val="10"/>
      <color theme="1"/>
      <name val="Calibri"/>
      <family val="2"/>
      <scheme val="minor"/>
    </font>
    <font>
      <sz val="10"/>
      <color rgb="FF000000"/>
      <name val="Arial"/>
      <family val="2"/>
    </font>
    <font>
      <sz val="11"/>
      <color rgb="FF000000"/>
      <name val="Calibri"/>
      <family val="2"/>
      <scheme val="minor"/>
    </font>
    <font>
      <b/>
      <sz val="9"/>
      <name val="Arial"/>
      <family val="2"/>
    </font>
    <font>
      <sz val="10"/>
      <color rgb="FF000000"/>
      <name val="Tahoma"/>
      <family val="2"/>
    </font>
    <font>
      <b/>
      <sz val="10"/>
      <color rgb="FF002060"/>
      <name val="Arial"/>
      <family val="2"/>
    </font>
    <font>
      <sz val="10"/>
      <color rgb="FFFF0000"/>
      <name val="Arial"/>
      <family val="2"/>
    </font>
    <font>
      <b/>
      <u/>
      <sz val="10"/>
      <color rgb="FFFF0000"/>
      <name val="Arial"/>
      <family val="2"/>
    </font>
    <font>
      <sz val="12"/>
      <color theme="1"/>
      <name val="Arial"/>
      <family val="2"/>
    </font>
    <font>
      <sz val="16"/>
      <color theme="1"/>
      <name val="Arial"/>
      <family val="2"/>
    </font>
    <font>
      <b/>
      <sz val="36"/>
      <color rgb="FF008000"/>
      <name val="Arial"/>
      <family val="2"/>
    </font>
    <font>
      <b/>
      <sz val="14"/>
      <color theme="1"/>
      <name val="Arial"/>
      <family val="2"/>
    </font>
    <font>
      <sz val="10"/>
      <color theme="1"/>
      <name val="Calibri"/>
      <family val="2"/>
      <scheme val="minor"/>
    </font>
    <font>
      <b/>
      <sz val="12"/>
      <name val="Arial"/>
      <family val="2"/>
    </font>
    <font>
      <b/>
      <sz val="10"/>
      <name val="Arial"/>
      <family val="2"/>
    </font>
    <font>
      <sz val="12"/>
      <name val="Times New Roman"/>
      <family val="1"/>
    </font>
    <font>
      <sz val="10"/>
      <name val="Arial"/>
      <family val="2"/>
    </font>
    <font>
      <sz val="11"/>
      <name val="Arial"/>
      <family val="2"/>
    </font>
    <font>
      <sz val="11"/>
      <name val="Calibri"/>
      <family val="2"/>
      <scheme val="minor"/>
    </font>
    <font>
      <b/>
      <sz val="24"/>
      <color rgb="FF008000"/>
      <name val="Arial"/>
      <family val="2"/>
    </font>
    <font>
      <b/>
      <sz val="10"/>
      <color indexed="12"/>
      <name val="Arial"/>
      <family val="2"/>
    </font>
    <font>
      <sz val="9"/>
      <name val="Arial"/>
      <family val="2"/>
    </font>
    <font>
      <b/>
      <sz val="8"/>
      <color theme="1"/>
      <name val="Arial"/>
      <family val="2"/>
    </font>
    <font>
      <sz val="12"/>
      <color theme="1"/>
      <name val="Calibri"/>
      <family val="2"/>
      <scheme val="minor"/>
    </font>
    <font>
      <b/>
      <sz val="13"/>
      <color theme="1"/>
      <name val="Arial"/>
      <family val="2"/>
    </font>
    <font>
      <sz val="8"/>
      <name val="Calibri"/>
      <family val="2"/>
      <scheme val="minor"/>
    </font>
    <font>
      <sz val="14"/>
      <color theme="1"/>
      <name val="Arial"/>
      <family val="2"/>
    </font>
    <font>
      <sz val="12"/>
      <color rgb="FF000000"/>
      <name val="Arial"/>
      <family val="2"/>
    </font>
    <font>
      <sz val="15"/>
      <color theme="1"/>
      <name val="Arial"/>
      <family val="2"/>
    </font>
    <font>
      <b/>
      <sz val="15"/>
      <color theme="1"/>
      <name val="Arial"/>
      <family val="2"/>
    </font>
    <font>
      <sz val="8"/>
      <name val="Arial"/>
      <family val="2"/>
    </font>
    <font>
      <b/>
      <sz val="12"/>
      <color theme="1"/>
      <name val="Arial"/>
      <family val="2"/>
    </font>
    <font>
      <sz val="8"/>
      <color theme="0"/>
      <name val="Arial"/>
      <family val="2"/>
    </font>
    <font>
      <b/>
      <sz val="7"/>
      <color theme="1"/>
      <name val="Arial"/>
      <family val="2"/>
    </font>
    <font>
      <sz val="7"/>
      <name val="Arial"/>
      <family val="2"/>
    </font>
  </fonts>
  <fills count="12">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D9D9D9"/>
        <bgColor indexed="64"/>
      </patternFill>
    </fill>
    <fill>
      <patternFill patternType="solid">
        <fgColor theme="6" tint="0.59999389629810485"/>
        <bgColor indexed="64"/>
      </patternFill>
    </fill>
    <fill>
      <patternFill patternType="solid">
        <fgColor rgb="FF92D050"/>
        <bgColor indexed="64"/>
      </patternFill>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C00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medium">
        <color indexed="64"/>
      </top>
      <bottom style="thin">
        <color indexed="64"/>
      </bottom>
      <diagonal/>
    </border>
  </borders>
  <cellStyleXfs count="2">
    <xf numFmtId="0" fontId="0" fillId="0" borderId="0"/>
    <xf numFmtId="0" fontId="31" fillId="0" borderId="0"/>
  </cellStyleXfs>
  <cellXfs count="443">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xf>
    <xf numFmtId="0" fontId="5" fillId="0" borderId="5" xfId="0" applyFont="1" applyBorder="1" applyAlignment="1">
      <alignment vertical="center" wrapText="1"/>
    </xf>
    <xf numFmtId="0" fontId="4" fillId="0" borderId="3" xfId="0" applyFont="1" applyBorder="1" applyAlignment="1">
      <alignment vertical="center" wrapText="1"/>
    </xf>
    <xf numFmtId="0" fontId="4" fillId="4" borderId="5" xfId="0" applyFont="1" applyFill="1" applyBorder="1"/>
    <xf numFmtId="0" fontId="4" fillId="4" borderId="2" xfId="0" applyFont="1" applyFill="1" applyBorder="1"/>
    <xf numFmtId="0" fontId="4" fillId="4" borderId="6" xfId="0" applyFont="1" applyFill="1" applyBorder="1" applyAlignment="1">
      <alignment vertical="center" wrapText="1"/>
    </xf>
    <xf numFmtId="0" fontId="4" fillId="4" borderId="4" xfId="0" applyFont="1" applyFill="1" applyBorder="1" applyAlignment="1">
      <alignment vertical="center" wrapText="1"/>
    </xf>
    <xf numFmtId="0" fontId="4" fillId="4" borderId="2" xfId="0" applyFont="1" applyFill="1" applyBorder="1" applyAlignment="1">
      <alignment vertical="center" wrapText="1"/>
    </xf>
    <xf numFmtId="0" fontId="2" fillId="0" borderId="2" xfId="0" applyFont="1" applyBorder="1" applyAlignment="1">
      <alignment vertical="center" wrapText="1"/>
    </xf>
    <xf numFmtId="0" fontId="2" fillId="0" borderId="2" xfId="0" applyFont="1" applyBorder="1" applyAlignment="1">
      <alignment horizontal="justify" vertical="center" wrapText="1"/>
    </xf>
    <xf numFmtId="0" fontId="2" fillId="0" borderId="6" xfId="0" applyFont="1" applyBorder="1" applyAlignment="1">
      <alignment horizontal="left" vertical="center" wrapText="1"/>
    </xf>
    <xf numFmtId="0" fontId="2" fillId="0" borderId="3" xfId="0" applyFont="1" applyBorder="1" applyAlignment="1">
      <alignment horizontal="justify" vertical="center" wrapText="1"/>
    </xf>
    <xf numFmtId="0" fontId="2" fillId="0" borderId="4" xfId="0" applyFont="1" applyBorder="1" applyAlignment="1">
      <alignment horizontal="left" vertical="center" wrapText="1"/>
    </xf>
    <xf numFmtId="0" fontId="2" fillId="0" borderId="2" xfId="0" applyFont="1" applyBorder="1" applyAlignment="1">
      <alignment horizontal="left"/>
    </xf>
    <xf numFmtId="0" fontId="2" fillId="0" borderId="17" xfId="0" applyFont="1" applyBorder="1" applyAlignment="1">
      <alignment horizontal="left"/>
    </xf>
    <xf numFmtId="14" fontId="2" fillId="0" borderId="2" xfId="0" applyNumberFormat="1" applyFont="1" applyBorder="1" applyAlignment="1">
      <alignment horizontal="left"/>
    </xf>
    <xf numFmtId="0" fontId="2" fillId="0" borderId="2" xfId="0" applyFont="1" applyBorder="1"/>
    <xf numFmtId="0" fontId="6" fillId="0" borderId="23" xfId="0" applyFont="1" applyBorder="1" applyAlignment="1">
      <alignment horizontal="center" vertical="center" wrapText="1"/>
    </xf>
    <xf numFmtId="0" fontId="6" fillId="0" borderId="25" xfId="0" applyFont="1" applyBorder="1" applyAlignment="1">
      <alignment horizontal="center" vertical="center" wrapText="1"/>
    </xf>
    <xf numFmtId="0" fontId="12" fillId="0" borderId="0" xfId="0" applyFont="1"/>
    <xf numFmtId="0" fontId="12" fillId="0" borderId="0" xfId="0" applyFont="1" applyAlignment="1">
      <alignment vertical="center"/>
    </xf>
    <xf numFmtId="0" fontId="13" fillId="0" borderId="0" xfId="0" applyFont="1"/>
    <xf numFmtId="0" fontId="1" fillId="4" borderId="5" xfId="0" applyFont="1" applyFill="1" applyBorder="1" applyAlignment="1">
      <alignment horizontal="left" vertical="center"/>
    </xf>
    <xf numFmtId="0" fontId="1" fillId="4" borderId="17" xfId="0" applyFont="1" applyFill="1" applyBorder="1" applyAlignment="1">
      <alignment horizontal="left" vertical="center"/>
    </xf>
    <xf numFmtId="0" fontId="10" fillId="0" borderId="0" xfId="0" applyFont="1" applyAlignment="1">
      <alignment horizontal="justify" vertical="center"/>
    </xf>
    <xf numFmtId="0" fontId="1" fillId="0" borderId="2" xfId="0" applyFont="1" applyBorder="1" applyAlignment="1">
      <alignment horizontal="left" vertical="center"/>
    </xf>
    <xf numFmtId="0" fontId="2" fillId="5" borderId="8"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6" fillId="0" borderId="21" xfId="0" applyFont="1" applyBorder="1" applyAlignment="1">
      <alignment horizontal="center" vertical="center" wrapText="1"/>
    </xf>
    <xf numFmtId="14" fontId="6" fillId="0" borderId="18" xfId="0" applyNumberFormat="1" applyFont="1" applyBorder="1" applyAlignment="1">
      <alignment horizontal="center" vertical="center" wrapText="1"/>
    </xf>
    <xf numFmtId="0" fontId="6" fillId="0" borderId="18" xfId="0" applyFont="1" applyBorder="1" applyAlignment="1">
      <alignment horizontal="left" vertical="center" wrapText="1"/>
    </xf>
    <xf numFmtId="0" fontId="1" fillId="0" borderId="2" xfId="0" applyFont="1" applyBorder="1" applyAlignment="1">
      <alignment horizontal="left"/>
    </xf>
    <xf numFmtId="0" fontId="4" fillId="0" borderId="3" xfId="0" applyFont="1" applyBorder="1" applyAlignment="1">
      <alignment horizontal="left" vertical="center" wrapText="1"/>
    </xf>
    <xf numFmtId="0" fontId="4" fillId="4" borderId="4" xfId="0" applyFont="1" applyFill="1" applyBorder="1" applyAlignment="1">
      <alignment horizontal="left" vertical="center" wrapText="1"/>
    </xf>
    <xf numFmtId="0" fontId="4" fillId="4" borderId="2" xfId="0" applyFont="1" applyFill="1" applyBorder="1" applyAlignment="1">
      <alignment horizontal="left" vertical="center"/>
    </xf>
    <xf numFmtId="0" fontId="4" fillId="0" borderId="4" xfId="0" applyFont="1" applyBorder="1" applyAlignment="1">
      <alignment horizontal="left" vertical="center" wrapText="1"/>
    </xf>
    <xf numFmtId="0" fontId="4" fillId="0" borderId="6" xfId="0" applyFont="1" applyBorder="1" applyAlignment="1">
      <alignment horizontal="left" vertical="center" wrapText="1"/>
    </xf>
    <xf numFmtId="0" fontId="4" fillId="6" borderId="2" xfId="0" applyFont="1" applyFill="1" applyBorder="1" applyAlignment="1">
      <alignment horizontal="left" vertical="center" wrapText="1"/>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3" fillId="0" borderId="1" xfId="0" applyFont="1" applyBorder="1" applyAlignment="1">
      <alignment horizontal="left"/>
    </xf>
    <xf numFmtId="0" fontId="3" fillId="0" borderId="1" xfId="0" applyFont="1" applyBorder="1" applyAlignment="1">
      <alignment horizontal="center"/>
    </xf>
    <xf numFmtId="0" fontId="1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5" fillId="0" borderId="1" xfId="0" applyFont="1" applyBorder="1" applyAlignment="1">
      <alignment horizontal="center" vertical="center"/>
    </xf>
    <xf numFmtId="0" fontId="0" fillId="0" borderId="21" xfId="0" applyBorder="1" applyAlignment="1">
      <alignment horizontal="center" vertical="center"/>
    </xf>
    <xf numFmtId="0" fontId="0" fillId="0" borderId="21" xfId="0" applyBorder="1" applyAlignment="1">
      <alignment horizontal="center"/>
    </xf>
    <xf numFmtId="0" fontId="17" fillId="0" borderId="18" xfId="0" applyFont="1" applyBorder="1" applyAlignment="1">
      <alignment vertical="center"/>
    </xf>
    <xf numFmtId="0" fontId="3" fillId="0" borderId="1" xfId="0" applyFont="1" applyBorder="1" applyAlignment="1">
      <alignment horizontal="left" vertical="center" wrapText="1"/>
    </xf>
    <xf numFmtId="0" fontId="0" fillId="0" borderId="0" xfId="0" applyAlignment="1">
      <alignment vertical="top"/>
    </xf>
    <xf numFmtId="0" fontId="6" fillId="0" borderId="28" xfId="0" applyFont="1" applyBorder="1" applyAlignment="1">
      <alignment horizontal="center" vertical="center" wrapText="1"/>
    </xf>
    <xf numFmtId="0" fontId="6" fillId="0" borderId="18" xfId="0" applyFont="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32"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1" fillId="2" borderId="32" xfId="0" applyFont="1" applyFill="1" applyBorder="1" applyAlignment="1">
      <alignment horizontal="center" vertical="center"/>
    </xf>
    <xf numFmtId="0" fontId="1" fillId="2" borderId="9" xfId="0" applyFont="1" applyFill="1" applyBorder="1" applyAlignment="1">
      <alignment horizontal="center" vertical="center"/>
    </xf>
    <xf numFmtId="14" fontId="0" fillId="0" borderId="1" xfId="0" applyNumberFormat="1" applyBorder="1" applyAlignment="1">
      <alignment horizontal="left"/>
    </xf>
    <xf numFmtId="0" fontId="10" fillId="0" borderId="1" xfId="0" applyFont="1" applyBorder="1" applyAlignment="1">
      <alignment horizontal="center"/>
    </xf>
    <xf numFmtId="0" fontId="10" fillId="4" borderId="1" xfId="0" applyFont="1" applyFill="1" applyBorder="1" applyAlignment="1">
      <alignment horizontal="center"/>
    </xf>
    <xf numFmtId="0" fontId="3" fillId="0" borderId="1" xfId="0" applyFont="1" applyBorder="1"/>
    <xf numFmtId="0" fontId="6" fillId="0" borderId="1" xfId="0" applyFont="1" applyBorder="1" applyAlignment="1">
      <alignment horizontal="left"/>
    </xf>
    <xf numFmtId="0" fontId="1" fillId="4" borderId="1" xfId="0" applyFont="1" applyFill="1" applyBorder="1"/>
    <xf numFmtId="0" fontId="0" fillId="0" borderId="1" xfId="0" applyBorder="1" applyAlignment="1">
      <alignment horizontal="center" vertical="center" wrapText="1"/>
    </xf>
    <xf numFmtId="0" fontId="2" fillId="2" borderId="1" xfId="0" applyFont="1" applyFill="1" applyBorder="1" applyAlignment="1">
      <alignment horizontal="center"/>
    </xf>
    <xf numFmtId="0" fontId="6" fillId="0" borderId="1" xfId="0" applyFont="1" applyBorder="1" applyAlignment="1">
      <alignment horizontal="center"/>
    </xf>
    <xf numFmtId="14" fontId="6" fillId="0" borderId="1" xfId="0" applyNumberFormat="1" applyFont="1" applyBorder="1" applyAlignment="1">
      <alignment horizontal="center"/>
    </xf>
    <xf numFmtId="0" fontId="6" fillId="0" borderId="0" xfId="0" applyFont="1" applyAlignment="1">
      <alignment horizontal="center"/>
    </xf>
    <xf numFmtId="0" fontId="14" fillId="0" borderId="0" xfId="0" applyFont="1"/>
    <xf numFmtId="0" fontId="6" fillId="0" borderId="0" xfId="0" applyFont="1" applyAlignment="1">
      <alignment horizontal="left"/>
    </xf>
    <xf numFmtId="0" fontId="23" fillId="0" borderId="0" xfId="0" applyFont="1"/>
    <xf numFmtId="0" fontId="24" fillId="0" borderId="0" xfId="0" applyFont="1"/>
    <xf numFmtId="0" fontId="25" fillId="0" borderId="0" xfId="0" applyFont="1" applyAlignment="1">
      <alignment vertical="center"/>
    </xf>
    <xf numFmtId="0" fontId="4" fillId="0" borderId="0" xfId="0" applyFont="1" applyAlignment="1">
      <alignment horizontal="center"/>
    </xf>
    <xf numFmtId="0" fontId="3" fillId="0" borderId="0" xfId="0" applyFont="1"/>
    <xf numFmtId="0" fontId="24" fillId="0" borderId="0" xfId="0" applyFont="1" applyAlignment="1">
      <alignment vertical="top"/>
    </xf>
    <xf numFmtId="0" fontId="24" fillId="0" borderId="0" xfId="0" applyFont="1" applyAlignment="1">
      <alignment horizontal="justify" vertical="top"/>
    </xf>
    <xf numFmtId="0" fontId="11" fillId="0" borderId="0" xfId="0" applyFont="1" applyAlignment="1">
      <alignment horizontal="center"/>
    </xf>
    <xf numFmtId="0" fontId="14" fillId="0" borderId="0" xfId="0" applyFont="1" applyAlignment="1">
      <alignment horizontal="justify"/>
    </xf>
    <xf numFmtId="0" fontId="0" fillId="0" borderId="0" xfId="0" applyAlignment="1">
      <alignment horizontal="left"/>
    </xf>
    <xf numFmtId="0" fontId="1" fillId="0" borderId="1" xfId="0" applyFont="1" applyBorder="1" applyAlignment="1">
      <alignment horizontal="center" vertical="center"/>
    </xf>
    <xf numFmtId="0" fontId="6" fillId="0" borderId="1" xfId="0" applyFont="1" applyBorder="1"/>
    <xf numFmtId="0" fontId="0" fillId="0" borderId="1" xfId="0" applyBorder="1" applyAlignment="1">
      <alignment horizontal="left" wrapText="1"/>
    </xf>
    <xf numFmtId="0" fontId="0" fillId="0" borderId="1" xfId="0" applyBorder="1" applyAlignment="1">
      <alignment wrapText="1"/>
    </xf>
    <xf numFmtId="0" fontId="0" fillId="0" borderId="1" xfId="0" applyBorder="1" applyAlignment="1">
      <alignment vertical="center" wrapText="1"/>
    </xf>
    <xf numFmtId="0" fontId="14" fillId="0" borderId="0" xfId="0" applyFont="1" applyAlignment="1">
      <alignment vertical="center"/>
    </xf>
    <xf numFmtId="0" fontId="2" fillId="0" borderId="1" xfId="0" applyFont="1" applyBorder="1" applyAlignment="1">
      <alignment horizontal="center" vertical="center"/>
    </xf>
    <xf numFmtId="0" fontId="0" fillId="0" borderId="22" xfId="0" applyBorder="1" applyAlignment="1">
      <alignment horizontal="center"/>
    </xf>
    <xf numFmtId="0" fontId="17" fillId="0" borderId="28" xfId="0" applyFont="1" applyBorder="1" applyAlignment="1">
      <alignment vertical="center"/>
    </xf>
    <xf numFmtId="0" fontId="17" fillId="0" borderId="19" xfId="0" applyFont="1" applyBorder="1" applyAlignment="1">
      <alignment vertical="center"/>
    </xf>
    <xf numFmtId="0" fontId="0" fillId="0" borderId="20" xfId="0" applyBorder="1" applyAlignment="1">
      <alignment horizontal="center"/>
    </xf>
    <xf numFmtId="0" fontId="6" fillId="0" borderId="1" xfId="0" applyFont="1" applyBorder="1" applyAlignment="1">
      <alignment vertical="center"/>
    </xf>
    <xf numFmtId="0" fontId="2" fillId="4" borderId="1" xfId="0" applyFont="1" applyFill="1" applyBorder="1" applyAlignment="1">
      <alignment horizontal="center"/>
    </xf>
    <xf numFmtId="0" fontId="29" fillId="0" borderId="0" xfId="0" applyFont="1" applyAlignment="1">
      <alignment vertical="center"/>
    </xf>
    <xf numFmtId="0" fontId="27" fillId="0" borderId="0" xfId="0" applyFont="1"/>
    <xf numFmtId="0" fontId="6" fillId="0" borderId="40" xfId="0" applyFont="1" applyBorder="1" applyAlignment="1">
      <alignment horizontal="center"/>
    </xf>
    <xf numFmtId="0" fontId="23" fillId="0" borderId="0" xfId="0" applyFont="1" applyAlignment="1">
      <alignment horizontal="left" vertical="center" readingOrder="1"/>
    </xf>
    <xf numFmtId="0" fontId="24" fillId="0" borderId="0" xfId="0" applyFont="1" applyAlignment="1">
      <alignment horizontal="left"/>
    </xf>
    <xf numFmtId="0" fontId="31" fillId="0" borderId="0" xfId="0" applyFont="1" applyAlignment="1">
      <alignment vertical="center" wrapText="1" readingOrder="1"/>
    </xf>
    <xf numFmtId="0" fontId="31" fillId="0" borderId="0" xfId="0" applyFont="1"/>
    <xf numFmtId="0" fontId="31" fillId="0" borderId="0" xfId="0" applyFont="1" applyAlignment="1">
      <alignment horizontal="left" vertical="center" readingOrder="1"/>
    </xf>
    <xf numFmtId="0" fontId="31" fillId="0" borderId="0" xfId="0" applyFont="1" applyAlignment="1">
      <alignment horizontal="justify" vertical="top"/>
    </xf>
    <xf numFmtId="0" fontId="31" fillId="0" borderId="0" xfId="0" applyFont="1" applyAlignment="1">
      <alignment vertical="top"/>
    </xf>
    <xf numFmtId="0" fontId="32" fillId="0" borderId="0" xfId="0" applyFont="1"/>
    <xf numFmtId="0" fontId="33" fillId="0" borderId="0" xfId="0" applyFont="1"/>
    <xf numFmtId="0" fontId="28" fillId="0" borderId="0" xfId="0" applyFont="1" applyAlignment="1">
      <alignment horizontal="left" vertical="center" readingOrder="1"/>
    </xf>
    <xf numFmtId="0" fontId="28" fillId="0" borderId="0" xfId="0" applyFont="1" applyAlignment="1">
      <alignment vertical="center" wrapText="1" readingOrder="1"/>
    </xf>
    <xf numFmtId="0" fontId="28" fillId="0" borderId="0" xfId="0" applyFont="1"/>
    <xf numFmtId="164" fontId="36" fillId="9" borderId="1" xfId="0" applyNumberFormat="1" applyFont="1" applyFill="1" applyBorder="1" applyAlignment="1">
      <alignment horizontal="center" vertical="center"/>
    </xf>
    <xf numFmtId="0" fontId="3" fillId="0" borderId="38" xfId="0" applyFont="1" applyBorder="1" applyAlignment="1">
      <alignment vertical="top" wrapText="1"/>
    </xf>
    <xf numFmtId="0" fontId="3" fillId="0" borderId="0" xfId="0" applyFont="1" applyAlignment="1">
      <alignment vertical="top" wrapText="1"/>
    </xf>
    <xf numFmtId="0" fontId="3" fillId="0" borderId="39" xfId="0" applyFont="1" applyBorder="1" applyAlignment="1">
      <alignment vertical="top" wrapText="1"/>
    </xf>
    <xf numFmtId="0" fontId="3" fillId="0" borderId="33" xfId="0" applyFont="1" applyBorder="1" applyAlignment="1">
      <alignment vertical="top" wrapText="1"/>
    </xf>
    <xf numFmtId="0" fontId="3" fillId="0" borderId="27" xfId="0" applyFont="1" applyBorder="1" applyAlignment="1">
      <alignment vertical="top" wrapText="1"/>
    </xf>
    <xf numFmtId="0" fontId="3" fillId="0" borderId="34" xfId="0" applyFont="1" applyBorder="1" applyAlignment="1">
      <alignment vertical="top" wrapText="1"/>
    </xf>
    <xf numFmtId="0" fontId="37" fillId="0" borderId="4" xfId="0" applyFont="1" applyBorder="1" applyAlignment="1">
      <alignment horizontal="left" vertical="center" wrapText="1"/>
    </xf>
    <xf numFmtId="0" fontId="10" fillId="4" borderId="41" xfId="0" applyFont="1" applyFill="1" applyBorder="1" applyAlignment="1">
      <alignment horizontal="center"/>
    </xf>
    <xf numFmtId="164" fontId="35" fillId="9" borderId="1" xfId="0" applyNumberFormat="1" applyFont="1" applyFill="1" applyBorder="1" applyAlignment="1">
      <alignment vertical="center"/>
    </xf>
    <xf numFmtId="0" fontId="0" fillId="0" borderId="1" xfId="0" applyBorder="1" applyAlignment="1">
      <alignment horizontal="center"/>
    </xf>
    <xf numFmtId="0" fontId="0" fillId="0" borderId="0" xfId="0" applyAlignment="1">
      <alignment horizontal="left" wrapText="1"/>
    </xf>
    <xf numFmtId="0" fontId="38" fillId="0" borderId="0" xfId="0" applyFont="1" applyAlignment="1">
      <alignment horizontal="left" vertical="center" wrapText="1"/>
    </xf>
    <xf numFmtId="0" fontId="9" fillId="0" borderId="1" xfId="0" applyFont="1" applyBorder="1" applyAlignment="1">
      <alignment horizontal="center"/>
    </xf>
    <xf numFmtId="0" fontId="9" fillId="0" borderId="1" xfId="0" applyFont="1" applyBorder="1" applyAlignment="1">
      <alignment horizontal="left"/>
    </xf>
    <xf numFmtId="0" fontId="9" fillId="0" borderId="1" xfId="0" applyFont="1" applyBorder="1"/>
    <xf numFmtId="0" fontId="6" fillId="10" borderId="1" xfId="0" applyFont="1" applyFill="1" applyBorder="1" applyAlignment="1">
      <alignment horizontal="center"/>
    </xf>
    <xf numFmtId="14" fontId="6" fillId="10" borderId="1" xfId="0" applyNumberFormat="1" applyFont="1" applyFill="1" applyBorder="1" applyAlignment="1">
      <alignment horizontal="center"/>
    </xf>
    <xf numFmtId="0" fontId="41" fillId="0" borderId="1" xfId="0" applyFont="1" applyBorder="1" applyAlignment="1">
      <alignment horizontal="center" vertical="center"/>
    </xf>
    <xf numFmtId="0" fontId="0" fillId="0" borderId="1" xfId="0" applyBorder="1" applyAlignment="1">
      <alignment horizontal="left" vertical="justify"/>
    </xf>
    <xf numFmtId="0" fontId="16" fillId="0" borderId="1" xfId="0" applyFont="1" applyBorder="1" applyAlignment="1">
      <alignment horizontal="left" vertical="center" wrapText="1"/>
    </xf>
    <xf numFmtId="0" fontId="4" fillId="0" borderId="1" xfId="0" applyFont="1" applyBorder="1" applyAlignment="1">
      <alignment horizontal="justify" vertical="center"/>
    </xf>
    <xf numFmtId="0" fontId="42" fillId="0" borderId="1" xfId="0" applyFont="1" applyBorder="1" applyAlignment="1">
      <alignment horizontal="left" vertical="center" wrapText="1"/>
    </xf>
    <xf numFmtId="0" fontId="2" fillId="10" borderId="1" xfId="0" applyFont="1" applyFill="1" applyBorder="1" applyAlignment="1">
      <alignment horizontal="center"/>
    </xf>
    <xf numFmtId="0" fontId="6" fillId="10" borderId="1" xfId="0" applyFont="1" applyFill="1" applyBorder="1"/>
    <xf numFmtId="0" fontId="23" fillId="0" borderId="0" xfId="0" applyFont="1" applyAlignment="1">
      <alignment vertical="center" readingOrder="1"/>
    </xf>
    <xf numFmtId="0" fontId="36" fillId="0" borderId="18" xfId="0" applyFont="1" applyBorder="1" applyAlignment="1">
      <alignment horizontal="center" vertical="center" wrapText="1"/>
    </xf>
    <xf numFmtId="0" fontId="36" fillId="0" borderId="28" xfId="0" applyFont="1" applyBorder="1" applyAlignment="1">
      <alignment horizontal="center" vertical="center" wrapText="1"/>
    </xf>
    <xf numFmtId="14" fontId="36" fillId="0" borderId="28" xfId="0" applyNumberFormat="1" applyFont="1" applyBorder="1" applyAlignment="1">
      <alignment horizontal="center" vertical="center" wrapText="1"/>
    </xf>
    <xf numFmtId="0" fontId="33" fillId="0" borderId="21" xfId="0" applyFont="1" applyBorder="1" applyAlignment="1">
      <alignment horizontal="center" vertical="center"/>
    </xf>
    <xf numFmtId="0" fontId="0" fillId="0" borderId="40" xfId="0" applyBorder="1"/>
    <xf numFmtId="0" fontId="17" fillId="0" borderId="50" xfId="0" applyFont="1" applyBorder="1" applyAlignment="1">
      <alignment vertical="center"/>
    </xf>
    <xf numFmtId="0" fontId="17" fillId="0" borderId="26" xfId="0" applyFont="1" applyBorder="1" applyAlignment="1">
      <alignment vertical="center"/>
    </xf>
    <xf numFmtId="0" fontId="17" fillId="0" borderId="2" xfId="0" applyFont="1" applyBorder="1" applyAlignment="1">
      <alignment vertical="center"/>
    </xf>
    <xf numFmtId="0" fontId="17" fillId="0" borderId="0" xfId="0" applyFont="1" applyAlignment="1">
      <alignment vertical="center"/>
    </xf>
    <xf numFmtId="0" fontId="2" fillId="2" borderId="1" xfId="0" applyFont="1" applyFill="1" applyBorder="1" applyAlignment="1">
      <alignment horizontal="left"/>
    </xf>
    <xf numFmtId="0" fontId="44" fillId="0" borderId="0" xfId="0" applyFont="1" applyAlignment="1">
      <alignment horizontal="center"/>
    </xf>
    <xf numFmtId="14" fontId="44" fillId="0" borderId="0" xfId="0" applyNumberFormat="1" applyFont="1" applyAlignment="1">
      <alignment horizontal="left"/>
    </xf>
    <xf numFmtId="0" fontId="43" fillId="0" borderId="0" xfId="0" applyFont="1"/>
    <xf numFmtId="0" fontId="1" fillId="0" borderId="1" xfId="0" applyFont="1" applyBorder="1" applyAlignment="1">
      <alignment horizontal="center"/>
    </xf>
    <xf numFmtId="0" fontId="2" fillId="0" borderId="1" xfId="0" applyFont="1" applyBorder="1" applyAlignment="1">
      <alignment horizontal="left"/>
    </xf>
    <xf numFmtId="0" fontId="2" fillId="0" borderId="1" xfId="0" applyFont="1" applyBorder="1"/>
    <xf numFmtId="0" fontId="2" fillId="0" borderId="1" xfId="0" applyFont="1" applyBorder="1" applyAlignment="1">
      <alignment horizontal="center"/>
    </xf>
    <xf numFmtId="14" fontId="2" fillId="0" borderId="1" xfId="0" applyNumberFormat="1" applyFont="1" applyBorder="1" applyAlignment="1">
      <alignment horizontal="center"/>
    </xf>
    <xf numFmtId="0" fontId="2" fillId="10" borderId="1" xfId="0" applyFont="1" applyFill="1" applyBorder="1"/>
    <xf numFmtId="14" fontId="2" fillId="10" borderId="1" xfId="0" applyNumberFormat="1" applyFont="1" applyFill="1" applyBorder="1" applyAlignment="1">
      <alignment horizontal="center"/>
    </xf>
    <xf numFmtId="0" fontId="2" fillId="7" borderId="1" xfId="0" applyFont="1" applyFill="1" applyBorder="1" applyAlignment="1">
      <alignment horizontal="center"/>
    </xf>
    <xf numFmtId="0" fontId="1" fillId="10" borderId="1" xfId="0" applyFont="1" applyFill="1" applyBorder="1" applyAlignment="1">
      <alignment horizontal="center"/>
    </xf>
    <xf numFmtId="0" fontId="37" fillId="10" borderId="1" xfId="0" applyFont="1" applyFill="1" applyBorder="1" applyAlignment="1">
      <alignment horizontal="left"/>
    </xf>
    <xf numFmtId="0" fontId="37" fillId="0" borderId="1" xfId="0" applyFont="1" applyBorder="1" applyAlignment="1">
      <alignment horizontal="left"/>
    </xf>
    <xf numFmtId="0" fontId="36" fillId="0" borderId="50" xfId="0" applyFont="1" applyBorder="1" applyAlignment="1">
      <alignment horizontal="center" vertical="center" wrapText="1"/>
    </xf>
    <xf numFmtId="0" fontId="45" fillId="0" borderId="18" xfId="0" applyFont="1" applyBorder="1" applyAlignment="1">
      <alignment horizontal="left" vertical="center" wrapText="1"/>
    </xf>
    <xf numFmtId="0" fontId="45" fillId="0" borderId="28" xfId="0" applyFont="1" applyBorder="1" applyAlignment="1">
      <alignment horizontal="left" vertical="center" wrapText="1"/>
    </xf>
    <xf numFmtId="0" fontId="2" fillId="11" borderId="1" xfId="0" applyFont="1" applyFill="1" applyBorder="1" applyAlignment="1">
      <alignment horizontal="center"/>
    </xf>
    <xf numFmtId="0" fontId="2" fillId="11" borderId="1" xfId="0" applyFont="1" applyFill="1" applyBorder="1"/>
    <xf numFmtId="0" fontId="2" fillId="10" borderId="1" xfId="0" applyFont="1" applyFill="1" applyBorder="1" applyAlignment="1">
      <alignment horizontal="left"/>
    </xf>
    <xf numFmtId="0" fontId="2" fillId="10" borderId="1" xfId="0" quotePrefix="1" applyFont="1" applyFill="1" applyBorder="1" applyAlignment="1">
      <alignment horizontal="center"/>
    </xf>
    <xf numFmtId="0" fontId="33" fillId="0" borderId="32" xfId="0" applyFont="1" applyBorder="1" applyAlignment="1">
      <alignment horizontal="center" vertical="center"/>
    </xf>
    <xf numFmtId="3" fontId="2" fillId="0" borderId="1" xfId="0" applyNumberFormat="1" applyFont="1" applyBorder="1" applyAlignment="1">
      <alignment horizontal="center"/>
    </xf>
    <xf numFmtId="0" fontId="2" fillId="0" borderId="0" xfId="0" applyFont="1" applyAlignment="1">
      <alignment horizontal="center"/>
    </xf>
    <xf numFmtId="0" fontId="1" fillId="0" borderId="1" xfId="0" applyFont="1" applyBorder="1" applyAlignment="1">
      <alignment horizontal="justify" vertical="center"/>
    </xf>
    <xf numFmtId="0" fontId="36" fillId="10" borderId="18" xfId="0" applyFont="1" applyFill="1" applyBorder="1" applyAlignment="1">
      <alignment horizontal="center" vertical="center" wrapText="1"/>
    </xf>
    <xf numFmtId="0" fontId="47" fillId="0" borderId="18" xfId="0" applyFont="1" applyBorder="1" applyAlignment="1">
      <alignment horizontal="left" vertical="center" wrapText="1"/>
    </xf>
    <xf numFmtId="0" fontId="33" fillId="10" borderId="32" xfId="0" applyFont="1" applyFill="1" applyBorder="1" applyAlignment="1">
      <alignment horizontal="center" vertical="center"/>
    </xf>
    <xf numFmtId="0" fontId="36" fillId="10" borderId="28" xfId="0" applyFont="1" applyFill="1" applyBorder="1" applyAlignment="1">
      <alignment horizontal="center" vertical="center" wrapText="1"/>
    </xf>
    <xf numFmtId="0" fontId="37" fillId="2" borderId="1" xfId="0" applyFont="1" applyFill="1" applyBorder="1" applyAlignment="1">
      <alignment horizontal="center"/>
    </xf>
    <xf numFmtId="0" fontId="23" fillId="0" borderId="0" xfId="0" applyFont="1" applyAlignment="1">
      <alignment horizontal="left"/>
    </xf>
    <xf numFmtId="0" fontId="37" fillId="0" borderId="0" xfId="0" applyFont="1"/>
    <xf numFmtId="0" fontId="3" fillId="0" borderId="1" xfId="0" applyFont="1" applyBorder="1" applyAlignment="1">
      <alignment horizontal="left"/>
    </xf>
    <xf numFmtId="0" fontId="3" fillId="0" borderId="30" xfId="0" applyFont="1" applyBorder="1" applyAlignment="1">
      <alignment horizontal="left"/>
    </xf>
    <xf numFmtId="0" fontId="28" fillId="8" borderId="1" xfId="0" applyFont="1" applyFill="1" applyBorder="1" applyAlignment="1">
      <alignment horizontal="center" vertical="center" wrapText="1"/>
    </xf>
    <xf numFmtId="0" fontId="29" fillId="0" borderId="1" xfId="0" applyFont="1" applyBorder="1" applyAlignment="1">
      <alignment horizontal="center" vertical="center"/>
    </xf>
    <xf numFmtId="0" fontId="2" fillId="4" borderId="30" xfId="0" applyFont="1" applyFill="1" applyBorder="1" applyAlignment="1">
      <alignment horizontal="center"/>
    </xf>
    <xf numFmtId="0" fontId="2" fillId="4" borderId="23" xfId="0" applyFont="1" applyFill="1" applyBorder="1" applyAlignment="1">
      <alignment horizontal="center"/>
    </xf>
    <xf numFmtId="0" fontId="2" fillId="4" borderId="31" xfId="0" applyFont="1" applyFill="1" applyBorder="1" applyAlignment="1">
      <alignment horizontal="center"/>
    </xf>
    <xf numFmtId="0" fontId="6" fillId="0" borderId="30" xfId="0" applyFont="1" applyBorder="1" applyAlignment="1">
      <alignment horizontal="center" vertical="center"/>
    </xf>
    <xf numFmtId="0" fontId="6" fillId="0" borderId="23" xfId="0" applyFont="1" applyBorder="1" applyAlignment="1">
      <alignment horizontal="center" vertical="center"/>
    </xf>
    <xf numFmtId="0" fontId="6" fillId="0" borderId="31" xfId="0" applyFont="1" applyBorder="1" applyAlignment="1">
      <alignment horizontal="center" vertical="center"/>
    </xf>
    <xf numFmtId="0" fontId="1" fillId="4" borderId="1" xfId="0" applyFont="1" applyFill="1" applyBorder="1" applyAlignment="1">
      <alignment horizontal="center"/>
    </xf>
    <xf numFmtId="0" fontId="3" fillId="0" borderId="35" xfId="0" applyFont="1" applyBorder="1" applyAlignment="1">
      <alignment horizontal="left" vertical="top" wrapText="1"/>
    </xf>
    <xf numFmtId="0" fontId="3" fillId="0" borderId="37" xfId="0" applyFont="1" applyBorder="1" applyAlignment="1">
      <alignment horizontal="left" vertical="top" wrapText="1"/>
    </xf>
    <xf numFmtId="0" fontId="3" fillId="0" borderId="36" xfId="0" applyFont="1" applyBorder="1" applyAlignment="1">
      <alignment horizontal="left" vertical="top" wrapText="1"/>
    </xf>
    <xf numFmtId="0" fontId="3" fillId="0" borderId="38" xfId="0" applyFont="1" applyBorder="1" applyAlignment="1">
      <alignment horizontal="left" vertical="top" wrapText="1"/>
    </xf>
    <xf numFmtId="0" fontId="3" fillId="0" borderId="0" xfId="0" applyFont="1" applyAlignment="1">
      <alignment horizontal="left" vertical="top" wrapText="1"/>
    </xf>
    <xf numFmtId="0" fontId="3" fillId="0" borderId="39" xfId="0" applyFont="1" applyBorder="1" applyAlignment="1">
      <alignment horizontal="left" vertical="top" wrapText="1"/>
    </xf>
    <xf numFmtId="0" fontId="3" fillId="0" borderId="38" xfId="0" quotePrefix="1" applyFont="1" applyBorder="1" applyAlignment="1">
      <alignment horizontal="center" vertical="top" wrapText="1"/>
    </xf>
    <xf numFmtId="0" fontId="3" fillId="0" borderId="0" xfId="0" applyFont="1" applyAlignment="1">
      <alignment horizontal="center" vertical="top" wrapText="1"/>
    </xf>
    <xf numFmtId="0" fontId="3" fillId="0" borderId="39" xfId="0" applyFont="1" applyBorder="1" applyAlignment="1">
      <alignment horizontal="center" vertical="top" wrapText="1"/>
    </xf>
    <xf numFmtId="0" fontId="3" fillId="0" borderId="33" xfId="0" applyFont="1" applyBorder="1" applyAlignment="1">
      <alignment horizontal="center" vertical="top" wrapText="1"/>
    </xf>
    <xf numFmtId="0" fontId="3" fillId="0" borderId="27" xfId="0" applyFont="1" applyBorder="1" applyAlignment="1">
      <alignment horizontal="center" vertical="top" wrapText="1"/>
    </xf>
    <xf numFmtId="0" fontId="3" fillId="0" borderId="34" xfId="0" applyFont="1" applyBorder="1" applyAlignment="1">
      <alignment horizontal="center" vertical="top" wrapText="1"/>
    </xf>
    <xf numFmtId="0" fontId="10" fillId="4" borderId="1" xfId="0" applyFont="1" applyFill="1" applyBorder="1" applyAlignment="1">
      <alignment horizontal="center"/>
    </xf>
    <xf numFmtId="0" fontId="9" fillId="0" borderId="1" xfId="0" applyFont="1" applyBorder="1" applyAlignment="1">
      <alignment horizontal="left"/>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6" fillId="0" borderId="35" xfId="0" applyFont="1" applyBorder="1" applyAlignment="1">
      <alignment horizontal="center"/>
    </xf>
    <xf numFmtId="0" fontId="6" fillId="0" borderId="36" xfId="0" applyFont="1" applyBorder="1" applyAlignment="1">
      <alignment horizontal="center"/>
    </xf>
    <xf numFmtId="0" fontId="6" fillId="0" borderId="33" xfId="0" applyFont="1" applyBorder="1" applyAlignment="1">
      <alignment horizontal="center"/>
    </xf>
    <xf numFmtId="0" fontId="6" fillId="0" borderId="34" xfId="0" applyFont="1" applyBorder="1" applyAlignment="1">
      <alignment horizontal="center"/>
    </xf>
    <xf numFmtId="0" fontId="2" fillId="0" borderId="30" xfId="0" applyFont="1" applyBorder="1" applyAlignment="1">
      <alignment horizontal="center"/>
    </xf>
    <xf numFmtId="0" fontId="2" fillId="0" borderId="23" xfId="0" applyFont="1" applyBorder="1" applyAlignment="1">
      <alignment horizontal="center"/>
    </xf>
    <xf numFmtId="0" fontId="2" fillId="0" borderId="31" xfId="0" applyFont="1" applyBorder="1" applyAlignment="1">
      <alignment horizontal="center"/>
    </xf>
    <xf numFmtId="0" fontId="10" fillId="0" borderId="30" xfId="0" applyFont="1" applyBorder="1" applyAlignment="1">
      <alignment horizontal="center" vertical="center"/>
    </xf>
    <xf numFmtId="0" fontId="10" fillId="0" borderId="23" xfId="0" applyFont="1" applyBorder="1" applyAlignment="1">
      <alignment horizontal="center" vertical="center"/>
    </xf>
    <xf numFmtId="0" fontId="10" fillId="0" borderId="31" xfId="0" applyFont="1" applyBorder="1" applyAlignment="1">
      <alignment horizontal="center" vertical="center"/>
    </xf>
    <xf numFmtId="0" fontId="23" fillId="0" borderId="0" xfId="0" applyFont="1" applyAlignment="1">
      <alignment horizontal="left" vertical="center" readingOrder="1"/>
    </xf>
    <xf numFmtId="0" fontId="34" fillId="0" borderId="0" xfId="0" applyFont="1" applyAlignment="1">
      <alignment horizontal="center" vertical="center"/>
    </xf>
    <xf numFmtId="0" fontId="6" fillId="0" borderId="0" xfId="0" applyFont="1" applyAlignment="1">
      <alignment horizontal="left" vertical="center" readingOrder="1"/>
    </xf>
    <xf numFmtId="0" fontId="28" fillId="0" borderId="0" xfId="0" applyFont="1" applyAlignment="1">
      <alignment horizontal="left" vertical="top" wrapText="1" readingOrder="1"/>
    </xf>
    <xf numFmtId="0" fontId="28" fillId="0" borderId="0" xfId="0" applyFont="1" applyAlignment="1">
      <alignment horizontal="center" vertical="top" wrapText="1" readingOrder="1"/>
    </xf>
    <xf numFmtId="0" fontId="4" fillId="0" borderId="37" xfId="0" applyFont="1" applyBorder="1" applyAlignment="1">
      <alignment horizontal="center"/>
    </xf>
    <xf numFmtId="0" fontId="4" fillId="0" borderId="0" xfId="0" applyFont="1" applyAlignment="1">
      <alignment horizontal="center"/>
    </xf>
    <xf numFmtId="0" fontId="9" fillId="0" borderId="0" xfId="0" applyFont="1" applyAlignment="1">
      <alignment horizontal="center" vertical="center" readingOrder="1"/>
    </xf>
    <xf numFmtId="0" fontId="4" fillId="0" borderId="0" xfId="0" applyFont="1" applyAlignment="1">
      <alignment horizontal="right" vertical="center"/>
    </xf>
    <xf numFmtId="0" fontId="24" fillId="0" borderId="0" xfId="0" applyFont="1" applyAlignment="1">
      <alignment horizontal="center"/>
    </xf>
    <xf numFmtId="0" fontId="25" fillId="0" borderId="0" xfId="0" applyFont="1" applyAlignment="1">
      <alignment horizontal="center" vertical="center"/>
    </xf>
    <xf numFmtId="0" fontId="24" fillId="0" borderId="0" xfId="0" applyFont="1" applyAlignment="1">
      <alignment horizontal="left"/>
    </xf>
    <xf numFmtId="0" fontId="39" fillId="0" borderId="0" xfId="0" applyFont="1" applyAlignment="1">
      <alignment horizontal="center"/>
    </xf>
    <xf numFmtId="0" fontId="24" fillId="0" borderId="0" xfId="0" applyFont="1" applyAlignment="1">
      <alignment horizontal="justify"/>
    </xf>
    <xf numFmtId="14" fontId="24" fillId="0" borderId="0" xfId="0" applyNumberFormat="1" applyFont="1" applyAlignment="1">
      <alignment horizontal="center"/>
    </xf>
    <xf numFmtId="0" fontId="24" fillId="0" borderId="0" xfId="0" applyFont="1" applyAlignment="1">
      <alignment horizontal="left" vertical="top" wrapText="1"/>
    </xf>
    <xf numFmtId="0" fontId="41" fillId="0" borderId="0" xfId="0" applyFont="1" applyAlignment="1">
      <alignment horizontal="left"/>
    </xf>
    <xf numFmtId="0" fontId="37" fillId="0" borderId="0" xfId="0" applyFont="1" applyAlignment="1">
      <alignment horizontal="left"/>
    </xf>
    <xf numFmtId="14" fontId="24" fillId="0" borderId="0" xfId="0" applyNumberFormat="1" applyFont="1" applyAlignment="1">
      <alignment horizontal="left"/>
    </xf>
    <xf numFmtId="0" fontId="30" fillId="0" borderId="38" xfId="0" applyFont="1" applyBorder="1" applyAlignment="1">
      <alignment horizontal="left" vertical="center"/>
    </xf>
    <xf numFmtId="0" fontId="30" fillId="0" borderId="0" xfId="0" applyFont="1" applyAlignment="1">
      <alignment horizontal="left" vertical="center"/>
    </xf>
    <xf numFmtId="0" fontId="30" fillId="0" borderId="39" xfId="0" applyFont="1" applyBorder="1" applyAlignment="1">
      <alignment horizontal="left" vertical="center"/>
    </xf>
    <xf numFmtId="0" fontId="10" fillId="4" borderId="30" xfId="0" applyFont="1" applyFill="1" applyBorder="1" applyAlignment="1">
      <alignment horizontal="center"/>
    </xf>
    <xf numFmtId="0" fontId="10" fillId="4" borderId="31" xfId="0" applyFont="1" applyFill="1" applyBorder="1" applyAlignment="1">
      <alignment horizontal="center"/>
    </xf>
    <xf numFmtId="0" fontId="30" fillId="0" borderId="35" xfId="0" applyFont="1" applyBorder="1" applyAlignment="1">
      <alignment horizontal="left" vertical="center"/>
    </xf>
    <xf numFmtId="0" fontId="30" fillId="0" borderId="37" xfId="0" applyFont="1" applyBorder="1" applyAlignment="1">
      <alignment horizontal="left" vertical="center"/>
    </xf>
    <xf numFmtId="0" fontId="30" fillId="0" borderId="36"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6" fillId="0" borderId="35" xfId="0" applyFont="1" applyBorder="1" applyAlignment="1">
      <alignment horizontal="center" vertical="center"/>
    </xf>
    <xf numFmtId="0" fontId="6" fillId="0" borderId="37" xfId="0" applyFont="1" applyBorder="1" applyAlignment="1">
      <alignment horizontal="center" vertical="center"/>
    </xf>
    <xf numFmtId="0" fontId="6" fillId="0" borderId="36" xfId="0" applyFont="1" applyBorder="1" applyAlignment="1">
      <alignment horizontal="center" vertical="center"/>
    </xf>
    <xf numFmtId="0" fontId="3" fillId="0" borderId="33" xfId="0" applyFont="1" applyBorder="1" applyAlignment="1">
      <alignment horizontal="left" vertical="top" wrapText="1"/>
    </xf>
    <xf numFmtId="0" fontId="3" fillId="0" borderId="27" xfId="0" applyFont="1" applyBorder="1" applyAlignment="1">
      <alignment horizontal="left" vertical="top" wrapText="1"/>
    </xf>
    <xf numFmtId="0" fontId="3" fillId="0" borderId="34" xfId="0" applyFont="1" applyBorder="1" applyAlignment="1">
      <alignment horizontal="left" vertical="top" wrapText="1"/>
    </xf>
    <xf numFmtId="0" fontId="49" fillId="0" borderId="0" xfId="0" applyFont="1" applyAlignment="1">
      <alignment vertical="top"/>
    </xf>
    <xf numFmtId="0" fontId="46" fillId="0" borderId="0" xfId="0" applyFont="1" applyAlignment="1">
      <alignment horizontal="left"/>
    </xf>
    <xf numFmtId="0" fontId="23" fillId="0" borderId="0" xfId="0" applyFont="1" applyAlignment="1">
      <alignment horizontal="left"/>
    </xf>
    <xf numFmtId="0" fontId="23" fillId="0" borderId="0" xfId="0" applyFont="1" applyAlignment="1">
      <alignment horizontal="center"/>
    </xf>
    <xf numFmtId="0" fontId="48" fillId="0" borderId="0" xfId="0" applyFont="1" applyAlignment="1">
      <alignment horizontal="center" vertical="center" readingOrder="1"/>
    </xf>
    <xf numFmtId="0" fontId="37" fillId="0" borderId="0" xfId="0" applyFont="1" applyAlignment="1">
      <alignment horizontal="left" vertical="center" readingOrder="1"/>
    </xf>
    <xf numFmtId="0" fontId="4" fillId="0" borderId="38" xfId="0" applyFont="1" applyBorder="1" applyAlignment="1">
      <alignment horizontal="left" vertical="top" wrapText="1"/>
    </xf>
    <xf numFmtId="0" fontId="26" fillId="0" borderId="0" xfId="0" applyFont="1" applyAlignment="1">
      <alignment horizontal="center"/>
    </xf>
    <xf numFmtId="0" fontId="31" fillId="0" borderId="0" xfId="0" applyFont="1" applyAlignment="1">
      <alignment horizontal="left" vertical="center" readingOrder="1"/>
    </xf>
    <xf numFmtId="0" fontId="28" fillId="0" borderId="0" xfId="0" applyFont="1" applyAlignment="1">
      <alignment horizontal="left" vertical="center" readingOrder="1"/>
    </xf>
    <xf numFmtId="0" fontId="10" fillId="0" borderId="0" xfId="0" applyFont="1" applyAlignment="1">
      <alignment horizontal="center"/>
    </xf>
    <xf numFmtId="0" fontId="11" fillId="0" borderId="0" xfId="0" applyFont="1" applyAlignment="1">
      <alignment horizontal="left"/>
    </xf>
    <xf numFmtId="0" fontId="9" fillId="0" borderId="1" xfId="0" applyFont="1" applyBorder="1" applyAlignment="1">
      <alignment horizontal="center" vertical="center" wrapText="1"/>
    </xf>
    <xf numFmtId="0" fontId="0" fillId="0" borderId="1" xfId="0" applyBorder="1" applyAlignment="1">
      <alignment horizontal="left" vertical="center"/>
    </xf>
    <xf numFmtId="0" fontId="1" fillId="4" borderId="1" xfId="0" applyFont="1" applyFill="1" applyBorder="1" applyAlignment="1">
      <alignment horizontal="left"/>
    </xf>
    <xf numFmtId="0" fontId="9" fillId="0" borderId="30" xfId="0" applyFont="1" applyBorder="1" applyAlignment="1">
      <alignment horizontal="left"/>
    </xf>
    <xf numFmtId="0" fontId="9" fillId="0" borderId="31" xfId="0" applyFont="1" applyBorder="1" applyAlignment="1">
      <alignment horizontal="left"/>
    </xf>
    <xf numFmtId="0" fontId="0" fillId="0" borderId="40" xfId="0" applyBorder="1" applyAlignment="1">
      <alignment horizontal="left" vertical="center"/>
    </xf>
    <xf numFmtId="0" fontId="3" fillId="0" borderId="42" xfId="0" applyFont="1" applyBorder="1" applyAlignment="1">
      <alignment horizontal="left" vertical="center" wrapText="1"/>
    </xf>
    <xf numFmtId="0" fontId="3" fillId="0" borderId="43" xfId="0" applyFont="1" applyBorder="1" applyAlignment="1">
      <alignment horizontal="left" vertical="center" wrapText="1"/>
    </xf>
    <xf numFmtId="0" fontId="3" fillId="0" borderId="44" xfId="0" applyFont="1" applyBorder="1" applyAlignment="1">
      <alignment horizontal="left" vertical="center" wrapText="1"/>
    </xf>
    <xf numFmtId="0" fontId="3" fillId="0" borderId="45" xfId="0" applyFont="1" applyBorder="1" applyAlignment="1">
      <alignment horizontal="left" vertical="center" wrapText="1"/>
    </xf>
    <xf numFmtId="0" fontId="3" fillId="0" borderId="1" xfId="0" applyFont="1" applyBorder="1" applyAlignment="1">
      <alignment horizontal="left" vertical="center" wrapText="1"/>
    </xf>
    <xf numFmtId="0" fontId="3" fillId="0" borderId="46" xfId="0" applyFont="1" applyBorder="1" applyAlignment="1">
      <alignment horizontal="left" vertical="center" wrapText="1"/>
    </xf>
    <xf numFmtId="0" fontId="3" fillId="0" borderId="47" xfId="0" applyFont="1" applyBorder="1" applyAlignment="1">
      <alignment horizontal="left" vertical="center" wrapText="1"/>
    </xf>
    <xf numFmtId="0" fontId="3" fillId="0" borderId="48" xfId="0" applyFont="1" applyBorder="1" applyAlignment="1">
      <alignment horizontal="left" vertical="center" wrapText="1"/>
    </xf>
    <xf numFmtId="0" fontId="3" fillId="0" borderId="49" xfId="0" applyFont="1" applyBorder="1" applyAlignment="1">
      <alignment horizontal="left" vertical="center" wrapText="1"/>
    </xf>
    <xf numFmtId="0" fontId="3" fillId="0" borderId="31" xfId="0" applyFont="1" applyBorder="1" applyAlignment="1">
      <alignment horizontal="left"/>
    </xf>
    <xf numFmtId="0" fontId="4" fillId="0" borderId="30" xfId="0" applyFont="1" applyBorder="1" applyAlignment="1">
      <alignment horizontal="center"/>
    </xf>
    <xf numFmtId="0" fontId="4" fillId="0" borderId="23" xfId="0" applyFont="1" applyBorder="1" applyAlignment="1">
      <alignment horizontal="center"/>
    </xf>
    <xf numFmtId="0" fontId="4" fillId="0" borderId="31" xfId="0" applyFont="1" applyBorder="1" applyAlignment="1">
      <alignment horizontal="center"/>
    </xf>
    <xf numFmtId="0" fontId="11" fillId="0" borderId="30" xfId="0" applyFont="1" applyBorder="1" applyAlignment="1">
      <alignment horizontal="center" vertical="center"/>
    </xf>
    <xf numFmtId="0" fontId="11" fillId="0" borderId="23" xfId="0" applyFont="1" applyBorder="1" applyAlignment="1">
      <alignment horizontal="center" vertical="center"/>
    </xf>
    <xf numFmtId="0" fontId="11" fillId="0" borderId="31" xfId="0" applyFont="1" applyBorder="1" applyAlignment="1">
      <alignment horizontal="center" vertical="center"/>
    </xf>
    <xf numFmtId="0" fontId="0" fillId="0" borderId="35" xfId="0" applyBorder="1" applyAlignment="1">
      <alignment horizontal="center"/>
    </xf>
    <xf numFmtId="0" fontId="0" fillId="0" borderId="36"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44" fillId="0" borderId="0" xfId="0" applyFont="1" applyAlignment="1">
      <alignment horizontal="left"/>
    </xf>
    <xf numFmtId="14" fontId="43" fillId="0" borderId="0" xfId="0" applyNumberFormat="1" applyFont="1" applyAlignment="1">
      <alignment horizontal="left"/>
    </xf>
    <xf numFmtId="0" fontId="43" fillId="0" borderId="0" xfId="0" applyFont="1" applyAlignment="1">
      <alignment horizontal="left"/>
    </xf>
    <xf numFmtId="0" fontId="44" fillId="0" borderId="0" xfId="0" applyFont="1" applyAlignment="1">
      <alignment horizontal="center"/>
    </xf>
    <xf numFmtId="0" fontId="43" fillId="0" borderId="0" xfId="0" applyFont="1" applyAlignment="1">
      <alignment horizontal="justify"/>
    </xf>
    <xf numFmtId="0" fontId="43" fillId="0" borderId="0" xfId="0" applyFont="1" applyAlignment="1">
      <alignment horizontal="center"/>
    </xf>
    <xf numFmtId="0" fontId="24" fillId="0" borderId="0" xfId="0" applyFont="1" applyAlignment="1">
      <alignment horizontal="justify" vertical="center" wrapText="1" readingOrder="1"/>
    </xf>
    <xf numFmtId="0" fontId="24" fillId="0" borderId="0" xfId="0" applyFont="1" applyAlignment="1">
      <alignment horizontal="left" vertical="center" wrapText="1" readingOrder="1"/>
    </xf>
    <xf numFmtId="0" fontId="19" fillId="0" borderId="14" xfId="0" applyFont="1" applyBorder="1" applyAlignment="1">
      <alignment horizontal="left" vertical="center" wrapText="1"/>
    </xf>
    <xf numFmtId="0" fontId="19" fillId="0" borderId="0" xfId="0" applyFont="1" applyAlignment="1">
      <alignment horizontal="left" vertical="center" wrapText="1"/>
    </xf>
    <xf numFmtId="0" fontId="19" fillId="0" borderId="15" xfId="0" applyFont="1" applyBorder="1" applyAlignment="1">
      <alignment horizontal="left" vertical="center" wrapText="1"/>
    </xf>
    <xf numFmtId="0" fontId="7" fillId="4" borderId="5"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1" fillId="0" borderId="0" xfId="0" applyFont="1" applyAlignment="1">
      <alignment horizontal="center"/>
    </xf>
    <xf numFmtId="0" fontId="7" fillId="4" borderId="16" xfId="0" applyFont="1" applyFill="1" applyBorder="1" applyAlignment="1">
      <alignment horizontal="center" vertical="center" wrapText="1"/>
    </xf>
    <xf numFmtId="0" fontId="7" fillId="4" borderId="17"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14" fillId="0" borderId="16" xfId="0" applyFont="1" applyBorder="1" applyAlignment="1">
      <alignment horizontal="center" vertical="top" wrapText="1"/>
    </xf>
    <xf numFmtId="0" fontId="14" fillId="0" borderId="17" xfId="0" applyFont="1" applyBorder="1" applyAlignment="1">
      <alignment horizontal="center" vertical="top" wrapText="1"/>
    </xf>
    <xf numFmtId="0" fontId="14" fillId="0" borderId="4" xfId="0" applyFont="1" applyBorder="1" applyAlignment="1">
      <alignment horizontal="center" vertical="top"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4" xfId="0" applyFont="1" applyBorder="1" applyAlignment="1">
      <alignment horizontal="center" vertical="center" wrapText="1"/>
    </xf>
    <xf numFmtId="0" fontId="2" fillId="0" borderId="5" xfId="0" applyFont="1" applyBorder="1" applyAlignment="1">
      <alignment horizontal="left" vertical="center" wrapText="1"/>
    </xf>
    <xf numFmtId="0" fontId="2" fillId="0" borderId="8" xfId="0" applyFont="1" applyBorder="1" applyAlignment="1">
      <alignment horizontal="left" vertical="center" wrapText="1"/>
    </xf>
    <xf numFmtId="0" fontId="2" fillId="0" borderId="6" xfId="0" applyFont="1" applyBorder="1" applyAlignment="1">
      <alignment horizontal="left" vertical="center" wrapText="1"/>
    </xf>
    <xf numFmtId="0" fontId="4" fillId="4" borderId="5" xfId="0" applyFont="1" applyFill="1" applyBorder="1" applyAlignment="1">
      <alignment horizontal="center"/>
    </xf>
    <xf numFmtId="0" fontId="4" fillId="4" borderId="8" xfId="0" applyFont="1" applyFill="1" applyBorder="1" applyAlignment="1">
      <alignment horizontal="center"/>
    </xf>
    <xf numFmtId="0" fontId="4" fillId="4" borderId="6" xfId="0" applyFont="1" applyFill="1" applyBorder="1" applyAlignment="1">
      <alignment horizontal="center"/>
    </xf>
    <xf numFmtId="0" fontId="4" fillId="0" borderId="5" xfId="0" applyFont="1" applyBorder="1" applyAlignment="1">
      <alignment horizontal="center" vertical="top" wrapText="1"/>
    </xf>
    <xf numFmtId="0" fontId="3" fillId="0" borderId="8" xfId="0" applyFont="1" applyBorder="1" applyAlignment="1">
      <alignment horizontal="center" vertical="top" wrapText="1"/>
    </xf>
    <xf numFmtId="0" fontId="3" fillId="0" borderId="6" xfId="0" applyFont="1" applyBorder="1" applyAlignment="1">
      <alignment horizontal="center" vertical="top" wrapText="1"/>
    </xf>
    <xf numFmtId="0" fontId="4" fillId="0" borderId="0" xfId="0" applyFont="1" applyAlignment="1">
      <alignment horizontal="center" vertical="center"/>
    </xf>
    <xf numFmtId="0" fontId="11" fillId="0" borderId="0" xfId="0" applyFont="1" applyAlignment="1">
      <alignment horizontal="center" vertical="center"/>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4" fillId="3" borderId="5" xfId="0" applyFont="1" applyFill="1" applyBorder="1" applyAlignment="1">
      <alignment horizontal="center"/>
    </xf>
    <xf numFmtId="0" fontId="4" fillId="3" borderId="8" xfId="0" applyFont="1" applyFill="1" applyBorder="1" applyAlignment="1">
      <alignment horizontal="center"/>
    </xf>
    <xf numFmtId="0" fontId="4" fillId="3" borderId="6" xfId="0" applyFont="1" applyFill="1" applyBorder="1" applyAlignment="1">
      <alignment horizontal="center"/>
    </xf>
    <xf numFmtId="0" fontId="3" fillId="0" borderId="5" xfId="0" applyFont="1" applyBorder="1" applyAlignment="1">
      <alignment horizontal="left" vertical="top" wrapText="1"/>
    </xf>
    <xf numFmtId="0" fontId="3" fillId="0" borderId="8" xfId="0" applyFont="1" applyBorder="1" applyAlignment="1">
      <alignment horizontal="left" vertical="top" wrapText="1"/>
    </xf>
    <xf numFmtId="0" fontId="3" fillId="0" borderId="6" xfId="0" applyFont="1" applyBorder="1" applyAlignment="1">
      <alignment horizontal="left" vertical="top" wrapText="1"/>
    </xf>
    <xf numFmtId="0" fontId="4" fillId="3" borderId="10" xfId="0" applyFont="1" applyFill="1" applyBorder="1" applyAlignment="1">
      <alignment horizontal="center"/>
    </xf>
    <xf numFmtId="0" fontId="4" fillId="3" borderId="7" xfId="0" applyFont="1" applyFill="1" applyBorder="1" applyAlignment="1">
      <alignment horizontal="center"/>
    </xf>
    <xf numFmtId="0" fontId="4" fillId="3" borderId="9" xfId="0" applyFont="1" applyFill="1" applyBorder="1" applyAlignment="1">
      <alignment horizontal="center"/>
    </xf>
    <xf numFmtId="0" fontId="3" fillId="0" borderId="0" xfId="0" applyFont="1" applyAlignment="1">
      <alignment horizontal="center" vertical="center" wrapText="1"/>
    </xf>
    <xf numFmtId="0" fontId="4" fillId="3" borderId="5"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2" fillId="3" borderId="5" xfId="0" applyFont="1" applyFill="1" applyBorder="1" applyAlignment="1">
      <alignment horizontal="center"/>
    </xf>
    <xf numFmtId="0" fontId="2" fillId="3" borderId="8" xfId="0" applyFont="1" applyFill="1" applyBorder="1" applyAlignment="1">
      <alignment horizontal="center"/>
    </xf>
    <xf numFmtId="0" fontId="2" fillId="3" borderId="6" xfId="0" applyFont="1" applyFill="1" applyBorder="1" applyAlignment="1">
      <alignment horizontal="center"/>
    </xf>
    <xf numFmtId="0" fontId="1" fillId="4" borderId="5" xfId="0" applyFont="1" applyFill="1" applyBorder="1" applyAlignment="1">
      <alignment horizontal="center"/>
    </xf>
    <xf numFmtId="0" fontId="1" fillId="4" borderId="8" xfId="0" applyFont="1" applyFill="1" applyBorder="1" applyAlignment="1">
      <alignment horizontal="center"/>
    </xf>
    <xf numFmtId="0" fontId="1" fillId="4" borderId="6" xfId="0" applyFont="1" applyFill="1" applyBorder="1" applyAlignment="1">
      <alignment horizontal="center"/>
    </xf>
    <xf numFmtId="0" fontId="3" fillId="0" borderId="5" xfId="0" applyFont="1" applyBorder="1" applyAlignment="1">
      <alignment horizontal="left" vertical="center" wrapText="1"/>
    </xf>
    <xf numFmtId="0" fontId="3" fillId="0" borderId="8" xfId="0" applyFont="1" applyBorder="1" applyAlignment="1">
      <alignment horizontal="left" vertical="center" wrapText="1"/>
    </xf>
    <xf numFmtId="0" fontId="3" fillId="0" borderId="6" xfId="0" applyFont="1" applyBorder="1" applyAlignment="1">
      <alignment horizontal="left" vertical="center" wrapText="1"/>
    </xf>
    <xf numFmtId="0" fontId="4" fillId="0" borderId="5" xfId="0" applyFont="1" applyBorder="1" applyAlignment="1">
      <alignment horizontal="left" vertical="top" wrapText="1"/>
    </xf>
    <xf numFmtId="0" fontId="4" fillId="0" borderId="8" xfId="0" applyFont="1" applyBorder="1" applyAlignment="1">
      <alignment horizontal="left" vertical="top" wrapText="1"/>
    </xf>
    <xf numFmtId="0" fontId="4" fillId="0" borderId="6" xfId="0" applyFont="1" applyBorder="1" applyAlignment="1">
      <alignment horizontal="left" vertical="top" wrapText="1"/>
    </xf>
    <xf numFmtId="0" fontId="4" fillId="4" borderId="5" xfId="0" applyFont="1" applyFill="1" applyBorder="1" applyAlignment="1">
      <alignment horizontal="center" vertical="top" wrapText="1"/>
    </xf>
    <xf numFmtId="0" fontId="4" fillId="4" borderId="8" xfId="0" applyFont="1" applyFill="1" applyBorder="1" applyAlignment="1">
      <alignment horizontal="center" vertical="top" wrapText="1"/>
    </xf>
    <xf numFmtId="0" fontId="4" fillId="4" borderId="6" xfId="0" applyFont="1" applyFill="1" applyBorder="1" applyAlignment="1">
      <alignment horizontal="center" vertical="top" wrapText="1"/>
    </xf>
    <xf numFmtId="0" fontId="3" fillId="0" borderId="10" xfId="0" applyFont="1" applyBorder="1" applyAlignment="1">
      <alignment horizontal="left" vertical="top" wrapText="1"/>
    </xf>
    <xf numFmtId="0" fontId="3" fillId="0" borderId="7" xfId="0" applyFont="1" applyBorder="1" applyAlignment="1">
      <alignment horizontal="left" vertical="top" wrapText="1"/>
    </xf>
    <xf numFmtId="0" fontId="3" fillId="0" borderId="9" xfId="0" applyFont="1" applyBorder="1" applyAlignment="1">
      <alignment horizontal="left" vertical="top" wrapText="1"/>
    </xf>
    <xf numFmtId="0" fontId="3" fillId="0" borderId="16" xfId="0" applyFont="1" applyBorder="1" applyAlignment="1">
      <alignment horizontal="left" vertical="top" wrapText="1"/>
    </xf>
    <xf numFmtId="0" fontId="3" fillId="0" borderId="17" xfId="0" applyFont="1" applyBorder="1" applyAlignment="1">
      <alignment horizontal="left" vertical="top" wrapText="1"/>
    </xf>
    <xf numFmtId="0" fontId="3" fillId="0" borderId="4" xfId="0" applyFont="1" applyBorder="1" applyAlignment="1">
      <alignment horizontal="left" vertical="top" wrapText="1"/>
    </xf>
    <xf numFmtId="0" fontId="4" fillId="0" borderId="5" xfId="0" applyFont="1" applyBorder="1" applyAlignment="1">
      <alignment horizontal="left"/>
    </xf>
    <xf numFmtId="0" fontId="6" fillId="0" borderId="8" xfId="0" applyFont="1" applyBorder="1" applyAlignment="1">
      <alignment horizontal="left"/>
    </xf>
    <xf numFmtId="0" fontId="6" fillId="0" borderId="6" xfId="0" applyFont="1" applyBorder="1" applyAlignment="1">
      <alignment horizontal="left"/>
    </xf>
    <xf numFmtId="0" fontId="19" fillId="0" borderId="14" xfId="0" applyFont="1" applyBorder="1" applyAlignment="1">
      <alignment horizontal="left" vertical="top" wrapText="1"/>
    </xf>
    <xf numFmtId="0" fontId="19" fillId="0" borderId="0" xfId="0" applyFont="1" applyAlignment="1">
      <alignment horizontal="left" vertical="top" wrapText="1"/>
    </xf>
    <xf numFmtId="0" fontId="19" fillId="0" borderId="15" xfId="0" applyFont="1" applyBorder="1" applyAlignment="1">
      <alignment horizontal="left" vertical="top" wrapText="1"/>
    </xf>
    <xf numFmtId="0" fontId="3" fillId="0" borderId="10" xfId="0" applyFont="1" applyBorder="1" applyAlignment="1">
      <alignment horizontal="left" vertical="center" wrapText="1"/>
    </xf>
    <xf numFmtId="0" fontId="3" fillId="0" borderId="7" xfId="0" applyFont="1" applyBorder="1" applyAlignment="1">
      <alignment horizontal="left" vertical="center" wrapText="1"/>
    </xf>
    <xf numFmtId="0" fontId="3" fillId="0" borderId="9" xfId="0" applyFont="1" applyBorder="1" applyAlignment="1">
      <alignment horizontal="left" vertical="center" wrapText="1"/>
    </xf>
    <xf numFmtId="0" fontId="18" fillId="0" borderId="16" xfId="0" applyFont="1" applyBorder="1" applyAlignment="1">
      <alignment horizontal="left" vertical="top" wrapText="1"/>
    </xf>
    <xf numFmtId="0" fontId="18" fillId="0" borderId="17" xfId="0" applyFont="1" applyBorder="1" applyAlignment="1">
      <alignment horizontal="left" vertical="top" wrapText="1"/>
    </xf>
    <xf numFmtId="0" fontId="18" fillId="0" borderId="4" xfId="0" applyFont="1" applyBorder="1" applyAlignment="1">
      <alignment horizontal="left" vertical="top" wrapText="1"/>
    </xf>
    <xf numFmtId="0" fontId="1" fillId="0" borderId="5" xfId="0" applyFont="1" applyBorder="1" applyAlignment="1">
      <alignment horizontal="left" vertical="center"/>
    </xf>
    <xf numFmtId="0" fontId="1" fillId="0" borderId="6" xfId="0" applyFont="1" applyBorder="1" applyAlignment="1">
      <alignment horizontal="left" vertical="center"/>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6" fillId="0" borderId="29" xfId="0" applyFont="1" applyBorder="1" applyAlignment="1">
      <alignment horizontal="left" vertical="center" wrapText="1"/>
    </xf>
    <xf numFmtId="0" fontId="6" fillId="0" borderId="23" xfId="0" applyFont="1" applyBorder="1" applyAlignment="1">
      <alignment horizontal="left" vertical="center" wrapText="1"/>
    </xf>
    <xf numFmtId="0" fontId="36" fillId="0" borderId="10" xfId="0" applyFont="1" applyBorder="1" applyAlignment="1">
      <alignment horizontal="left" vertical="center" wrapText="1"/>
    </xf>
    <xf numFmtId="0" fontId="36" fillId="0" borderId="9" xfId="0" applyFont="1" applyBorder="1" applyAlignment="1">
      <alignment horizontal="left" vertical="center" wrapText="1"/>
    </xf>
    <xf numFmtId="0" fontId="1" fillId="0" borderId="16" xfId="0" applyFont="1" applyBorder="1" applyAlignment="1">
      <alignment horizontal="left" vertical="center"/>
    </xf>
    <xf numFmtId="0" fontId="1" fillId="0" borderId="4" xfId="0" applyFont="1" applyBorder="1" applyAlignment="1">
      <alignment horizontal="left" vertical="center"/>
    </xf>
    <xf numFmtId="0" fontId="1" fillId="4" borderId="5" xfId="0" applyFont="1" applyFill="1" applyBorder="1" applyAlignment="1">
      <alignment horizontal="left" vertical="center"/>
    </xf>
    <xf numFmtId="0" fontId="1" fillId="4" borderId="6" xfId="0" applyFont="1" applyFill="1" applyBorder="1" applyAlignment="1">
      <alignment horizontal="left" vertical="center"/>
    </xf>
    <xf numFmtId="0" fontId="1" fillId="4" borderId="16" xfId="0" applyFont="1" applyFill="1" applyBorder="1" applyAlignment="1">
      <alignment horizontal="left" vertical="center"/>
    </xf>
    <xf numFmtId="0" fontId="1" fillId="4" borderId="17" xfId="0" applyFont="1" applyFill="1" applyBorder="1" applyAlignment="1">
      <alignment horizontal="left" vertical="center"/>
    </xf>
    <xf numFmtId="0" fontId="1" fillId="0" borderId="8" xfId="0" applyFont="1" applyBorder="1" applyAlignment="1">
      <alignment horizontal="left" vertical="center"/>
    </xf>
    <xf numFmtId="14" fontId="1" fillId="0" borderId="5" xfId="0" applyNumberFormat="1" applyFont="1" applyBorder="1" applyAlignment="1">
      <alignment horizontal="left" vertical="center"/>
    </xf>
    <xf numFmtId="14" fontId="1" fillId="0" borderId="8" xfId="0" applyNumberFormat="1" applyFont="1" applyBorder="1" applyAlignment="1">
      <alignment horizontal="left" vertical="center"/>
    </xf>
    <xf numFmtId="14" fontId="1" fillId="0" borderId="6" xfId="0" applyNumberFormat="1" applyFont="1" applyBorder="1" applyAlignment="1">
      <alignment horizontal="left" vertical="center"/>
    </xf>
    <xf numFmtId="0" fontId="2" fillId="4" borderId="5"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6" xfId="0" applyFont="1" applyFill="1" applyBorder="1" applyAlignment="1">
      <alignment horizontal="center" vertical="center"/>
    </xf>
    <xf numFmtId="0" fontId="10" fillId="4" borderId="5" xfId="0" applyFont="1" applyFill="1" applyBorder="1" applyAlignment="1">
      <alignment horizontal="center" vertical="center"/>
    </xf>
    <xf numFmtId="0" fontId="10" fillId="4" borderId="8" xfId="0" applyFont="1" applyFill="1" applyBorder="1" applyAlignment="1">
      <alignment horizontal="center" vertical="center"/>
    </xf>
    <xf numFmtId="0" fontId="10" fillId="4" borderId="6" xfId="0" applyFont="1" applyFill="1" applyBorder="1" applyAlignment="1">
      <alignment horizontal="center" vertical="center"/>
    </xf>
    <xf numFmtId="0" fontId="14" fillId="0" borderId="5" xfId="0" applyFont="1" applyBorder="1" applyAlignment="1">
      <alignment horizontal="left" vertical="top" wrapText="1"/>
    </xf>
    <xf numFmtId="0" fontId="14" fillId="0" borderId="8" xfId="0" applyFont="1" applyBorder="1" applyAlignment="1">
      <alignment horizontal="left" vertical="top" wrapText="1"/>
    </xf>
    <xf numFmtId="0" fontId="14" fillId="0" borderId="6" xfId="0" applyFont="1" applyBorder="1" applyAlignment="1">
      <alignment horizontal="left" vertical="top" wrapText="1"/>
    </xf>
    <xf numFmtId="0" fontId="2" fillId="4" borderId="5" xfId="0" applyFont="1" applyFill="1" applyBorder="1" applyAlignment="1">
      <alignment horizontal="center" vertical="top" wrapText="1"/>
    </xf>
    <xf numFmtId="0" fontId="2" fillId="4" borderId="8" xfId="0" applyFont="1" applyFill="1" applyBorder="1" applyAlignment="1">
      <alignment horizontal="center" vertical="top" wrapText="1"/>
    </xf>
    <xf numFmtId="0" fontId="2" fillId="4" borderId="6" xfId="0" applyFont="1" applyFill="1" applyBorder="1" applyAlignment="1">
      <alignment horizontal="center" vertical="top" wrapText="1"/>
    </xf>
    <xf numFmtId="0" fontId="46"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center" vertical="center"/>
    </xf>
    <xf numFmtId="0" fontId="10" fillId="0" borderId="17" xfId="0" applyFont="1" applyBorder="1" applyAlignment="1">
      <alignment horizontal="center" vertical="center" wrapText="1"/>
    </xf>
    <xf numFmtId="0" fontId="1" fillId="4" borderId="10" xfId="0" applyFont="1" applyFill="1" applyBorder="1" applyAlignment="1">
      <alignment horizontal="left" vertical="center"/>
    </xf>
    <xf numFmtId="0" fontId="1" fillId="4" borderId="7" xfId="0" applyFont="1" applyFill="1" applyBorder="1" applyAlignment="1">
      <alignment horizontal="left" vertical="center"/>
    </xf>
    <xf numFmtId="0" fontId="36" fillId="0" borderId="20" xfId="0" applyFont="1" applyBorder="1" applyAlignment="1">
      <alignment horizontal="left" vertical="center" wrapText="1"/>
    </xf>
    <xf numFmtId="0" fontId="36" fillId="0" borderId="51" xfId="0" applyFont="1" applyBorder="1" applyAlignment="1">
      <alignment horizontal="left" vertical="center" wrapText="1"/>
    </xf>
    <xf numFmtId="0" fontId="1" fillId="0" borderId="11" xfId="0" applyFont="1" applyBorder="1" applyAlignment="1">
      <alignment horizontal="left"/>
    </xf>
    <xf numFmtId="0" fontId="1" fillId="0" borderId="13" xfId="0" applyFont="1" applyBorder="1" applyAlignment="1">
      <alignment horizontal="left"/>
    </xf>
    <xf numFmtId="0" fontId="1" fillId="0" borderId="12" xfId="0" applyFont="1" applyBorder="1" applyAlignment="1">
      <alignment horizontal="left"/>
    </xf>
    <xf numFmtId="0" fontId="1" fillId="0" borderId="5" xfId="0" applyFont="1" applyBorder="1" applyAlignment="1">
      <alignment horizontal="left"/>
    </xf>
    <xf numFmtId="0" fontId="1" fillId="0" borderId="8" xfId="0" applyFont="1" applyBorder="1" applyAlignment="1">
      <alignment horizontal="left"/>
    </xf>
    <xf numFmtId="0" fontId="1" fillId="0" borderId="6" xfId="0" applyFont="1" applyBorder="1" applyAlignment="1">
      <alignment horizontal="left"/>
    </xf>
    <xf numFmtId="0" fontId="6" fillId="0" borderId="21" xfId="0" applyFont="1" applyBorder="1" applyAlignment="1">
      <alignment horizontal="left" vertical="center" wrapText="1"/>
    </xf>
    <xf numFmtId="0" fontId="6" fillId="0" borderId="25" xfId="0" applyFont="1" applyBorder="1" applyAlignment="1">
      <alignment horizontal="left" vertical="center" wrapText="1"/>
    </xf>
    <xf numFmtId="0" fontId="6" fillId="0" borderId="37" xfId="0" applyFont="1" applyBorder="1" applyAlignment="1">
      <alignment horizontal="left" vertical="center" wrapText="1"/>
    </xf>
    <xf numFmtId="0" fontId="0" fillId="0" borderId="24" xfId="0" applyBorder="1" applyAlignment="1">
      <alignment horizontal="center" vertical="top" wrapText="1"/>
    </xf>
    <xf numFmtId="14" fontId="1" fillId="0" borderId="5" xfId="0" applyNumberFormat="1" applyFont="1" applyBorder="1" applyAlignment="1">
      <alignment horizontal="left"/>
    </xf>
    <xf numFmtId="14" fontId="1" fillId="0" borderId="8" xfId="0" applyNumberFormat="1" applyFont="1" applyBorder="1" applyAlignment="1">
      <alignment horizontal="left"/>
    </xf>
    <xf numFmtId="14" fontId="1" fillId="0" borderId="6" xfId="0" applyNumberFormat="1" applyFont="1" applyBorder="1" applyAlignment="1">
      <alignment horizontal="left"/>
    </xf>
    <xf numFmtId="0" fontId="1" fillId="0" borderId="10" xfId="0" applyFont="1" applyBorder="1" applyAlignment="1">
      <alignment horizontal="left"/>
    </xf>
    <xf numFmtId="0" fontId="1" fillId="0" borderId="9" xfId="0" applyFont="1" applyBorder="1" applyAlignment="1">
      <alignment horizontal="left"/>
    </xf>
    <xf numFmtId="0" fontId="15" fillId="0" borderId="5" xfId="0" applyFont="1" applyBorder="1" applyAlignment="1">
      <alignment horizontal="left"/>
    </xf>
    <xf numFmtId="0" fontId="15" fillId="0" borderId="6" xfId="0" applyFont="1" applyBorder="1" applyAlignment="1">
      <alignment horizontal="left"/>
    </xf>
    <xf numFmtId="0" fontId="36" fillId="10" borderId="20" xfId="0" applyFont="1" applyFill="1" applyBorder="1" applyAlignment="1">
      <alignment horizontal="left" vertical="center" wrapText="1"/>
    </xf>
    <xf numFmtId="0" fontId="36" fillId="10" borderId="51" xfId="0" applyFont="1" applyFill="1" applyBorder="1" applyAlignment="1">
      <alignment horizontal="left" vertical="center" wrapText="1"/>
    </xf>
    <xf numFmtId="0" fontId="4"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6" fillId="0" borderId="1" xfId="0" applyFont="1" applyBorder="1" applyAlignment="1">
      <alignment horizontal="center" vertical="center" wrapText="1"/>
    </xf>
  </cellXfs>
  <cellStyles count="2">
    <cellStyle name="Normal" xfId="0" builtinId="0"/>
    <cellStyle name="Normal 2" xfId="1" xr:uid="{C116D852-5581-4DEA-9C8C-5A87CCF8982C}"/>
  </cellStyles>
  <dxfs count="0"/>
  <tableStyles count="0" defaultTableStyle="TableStyleMedium2" defaultPivotStyle="PivotStyleLight16"/>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image" Target="../media/image3.jp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emf"/><Relationship Id="rId1" Type="http://schemas.openxmlformats.org/officeDocument/2006/relationships/image" Target="../media/image3.jpg"/><Relationship Id="rId6" Type="http://schemas.openxmlformats.org/officeDocument/2006/relationships/image" Target="../media/image10.jpeg"/><Relationship Id="rId5" Type="http://schemas.openxmlformats.org/officeDocument/2006/relationships/image" Target="../media/image5.jpeg"/><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12.jpeg"/><Relationship Id="rId1" Type="http://schemas.openxmlformats.org/officeDocument/2006/relationships/image" Target="../media/image3.jpg"/><Relationship Id="rId5" Type="http://schemas.openxmlformats.org/officeDocument/2006/relationships/image" Target="../media/image5.jpeg"/><Relationship Id="rId4" Type="http://schemas.openxmlformats.org/officeDocument/2006/relationships/image" Target="../media/image13.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5.jpeg"/><Relationship Id="rId1" Type="http://schemas.openxmlformats.org/officeDocument/2006/relationships/image" Target="../media/image3.jpg"/><Relationship Id="rId6" Type="http://schemas.openxmlformats.org/officeDocument/2006/relationships/image" Target="../media/image17.jpeg"/><Relationship Id="rId5" Type="http://schemas.openxmlformats.org/officeDocument/2006/relationships/image" Target="../media/image16.jpeg"/><Relationship Id="rId4"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8.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19.png"/><Relationship Id="rId1" Type="http://schemas.openxmlformats.org/officeDocument/2006/relationships/image" Target="../media/image3.jpg"/><Relationship Id="rId4"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1.jpeg"/></Relationships>
</file>

<file path=xl/drawings/drawing1.xml><?xml version="1.0" encoding="utf-8"?>
<xdr:wsDr xmlns:xdr="http://schemas.openxmlformats.org/drawingml/2006/spreadsheetDrawing" xmlns:a="http://schemas.openxmlformats.org/drawingml/2006/main">
  <xdr:twoCellAnchor editAs="oneCell">
    <xdr:from>
      <xdr:col>4</xdr:col>
      <xdr:colOff>806710</xdr:colOff>
      <xdr:row>43</xdr:row>
      <xdr:rowOff>87475</xdr:rowOff>
    </xdr:from>
    <xdr:to>
      <xdr:col>5</xdr:col>
      <xdr:colOff>798935</xdr:colOff>
      <xdr:row>46</xdr:row>
      <xdr:rowOff>91361</xdr:rowOff>
    </xdr:to>
    <xdr:pic>
      <xdr:nvPicPr>
        <xdr:cNvPr id="6" name="Imagem 5">
          <a:extLst>
            <a:ext uri="{FF2B5EF4-FFF2-40B4-BE49-F238E27FC236}">
              <a16:creationId xmlns:a16="http://schemas.microsoft.com/office/drawing/2014/main" id="{0E3C3933-00DD-4A7C-86AB-8C64B9CF34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30741" y="8757169"/>
          <a:ext cx="1537607" cy="625927"/>
        </a:xfrm>
        <a:prstGeom prst="rect">
          <a:avLst/>
        </a:prstGeom>
      </xdr:spPr>
    </xdr:pic>
    <xdr:clientData/>
  </xdr:twoCellAnchor>
  <xdr:twoCellAnchor editAs="oneCell">
    <xdr:from>
      <xdr:col>0</xdr:col>
      <xdr:colOff>46653</xdr:colOff>
      <xdr:row>0</xdr:row>
      <xdr:rowOff>116633</xdr:rowOff>
    </xdr:from>
    <xdr:to>
      <xdr:col>1</xdr:col>
      <xdr:colOff>629817</xdr:colOff>
      <xdr:row>1</xdr:row>
      <xdr:rowOff>349898</xdr:rowOff>
    </xdr:to>
    <xdr:pic>
      <xdr:nvPicPr>
        <xdr:cNvPr id="4" name="Imagem 3">
          <a:extLst>
            <a:ext uri="{FF2B5EF4-FFF2-40B4-BE49-F238E27FC236}">
              <a16:creationId xmlns:a16="http://schemas.microsoft.com/office/drawing/2014/main" id="{31067216-7295-4127-B4C6-C9240C39C5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653" y="116633"/>
          <a:ext cx="956388" cy="4276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42333</xdr:colOff>
      <xdr:row>31</xdr:row>
      <xdr:rowOff>13607</xdr:rowOff>
    </xdr:to>
    <xdr:pic>
      <xdr:nvPicPr>
        <xdr:cNvPr id="2" name="Imagem 1">
          <a:extLst>
            <a:ext uri="{FF2B5EF4-FFF2-40B4-BE49-F238E27FC236}">
              <a16:creationId xmlns:a16="http://schemas.microsoft.com/office/drawing/2014/main" id="{916CE7D3-242D-4DA3-BBB9-1F99D691E12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0" y="0"/>
          <a:ext cx="10519833" cy="6924524"/>
        </a:xfrm>
        <a:prstGeom prst="rect">
          <a:avLst/>
        </a:prstGeom>
      </xdr:spPr>
    </xdr:pic>
    <xdr:clientData/>
  </xdr:twoCellAnchor>
  <xdr:twoCellAnchor editAs="oneCell">
    <xdr:from>
      <xdr:col>0</xdr:col>
      <xdr:colOff>0</xdr:colOff>
      <xdr:row>32</xdr:row>
      <xdr:rowOff>30238</xdr:rowOff>
    </xdr:from>
    <xdr:to>
      <xdr:col>17</xdr:col>
      <xdr:colOff>105833</xdr:colOff>
      <xdr:row>72</xdr:row>
      <xdr:rowOff>105834</xdr:rowOff>
    </xdr:to>
    <xdr:pic>
      <xdr:nvPicPr>
        <xdr:cNvPr id="4" name="Imagem 3">
          <a:extLst>
            <a:ext uri="{FF2B5EF4-FFF2-40B4-BE49-F238E27FC236}">
              <a16:creationId xmlns:a16="http://schemas.microsoft.com/office/drawing/2014/main" id="{430DDDEE-4769-4C93-9655-D165D0EB30AF}"/>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0" y="7121071"/>
          <a:ext cx="10583333" cy="6848930"/>
        </a:xfrm>
        <a:prstGeom prst="rect">
          <a:avLst/>
        </a:prstGeom>
      </xdr:spPr>
    </xdr:pic>
    <xdr:clientData/>
  </xdr:twoCellAnchor>
  <xdr:twoCellAnchor editAs="oneCell">
    <xdr:from>
      <xdr:col>14</xdr:col>
      <xdr:colOff>54429</xdr:colOff>
      <xdr:row>0</xdr:row>
      <xdr:rowOff>81643</xdr:rowOff>
    </xdr:from>
    <xdr:to>
      <xdr:col>16</xdr:col>
      <xdr:colOff>1152526</xdr:colOff>
      <xdr:row>7</xdr:row>
      <xdr:rowOff>119743</xdr:rowOff>
    </xdr:to>
    <xdr:pic>
      <xdr:nvPicPr>
        <xdr:cNvPr id="10" name="Picture 16">
          <a:extLst>
            <a:ext uri="{FF2B5EF4-FFF2-40B4-BE49-F238E27FC236}">
              <a16:creationId xmlns:a16="http://schemas.microsoft.com/office/drawing/2014/main" id="{992DE1EB-44E5-4735-94AD-8A709C4CD0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6715" y="81643"/>
          <a:ext cx="2009775" cy="137160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editAs="oneCell">
    <xdr:from>
      <xdr:col>14</xdr:col>
      <xdr:colOff>13607</xdr:colOff>
      <xdr:row>32</xdr:row>
      <xdr:rowOff>36286</xdr:rowOff>
    </xdr:from>
    <xdr:to>
      <xdr:col>16</xdr:col>
      <xdr:colOff>1111704</xdr:colOff>
      <xdr:row>39</xdr:row>
      <xdr:rowOff>74386</xdr:rowOff>
    </xdr:to>
    <xdr:pic>
      <xdr:nvPicPr>
        <xdr:cNvPr id="13" name="Picture 16">
          <a:extLst>
            <a:ext uri="{FF2B5EF4-FFF2-40B4-BE49-F238E27FC236}">
              <a16:creationId xmlns:a16="http://schemas.microsoft.com/office/drawing/2014/main" id="{3F51F508-2CB9-4454-A537-14510F96E5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4857" y="7127119"/>
          <a:ext cx="2040013" cy="129751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editAs="oneCell">
    <xdr:from>
      <xdr:col>3</xdr:col>
      <xdr:colOff>15875</xdr:colOff>
      <xdr:row>22</xdr:row>
      <xdr:rowOff>158750</xdr:rowOff>
    </xdr:from>
    <xdr:to>
      <xdr:col>6</xdr:col>
      <xdr:colOff>29482</xdr:colOff>
      <xdr:row>25</xdr:row>
      <xdr:rowOff>22677</xdr:rowOff>
    </xdr:to>
    <xdr:pic>
      <xdr:nvPicPr>
        <xdr:cNvPr id="17" name="Imagem 16">
          <a:extLst>
            <a:ext uri="{FF2B5EF4-FFF2-40B4-BE49-F238E27FC236}">
              <a16:creationId xmlns:a16="http://schemas.microsoft.com/office/drawing/2014/main" id="{D6C1211F-73BE-4D07-AD0D-62E3C34F7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87500" y="5238750"/>
          <a:ext cx="1537607" cy="625927"/>
        </a:xfrm>
        <a:prstGeom prst="rect">
          <a:avLst/>
        </a:prstGeom>
      </xdr:spPr>
    </xdr:pic>
    <xdr:clientData/>
  </xdr:twoCellAnchor>
  <xdr:twoCellAnchor editAs="oneCell">
    <xdr:from>
      <xdr:col>2</xdr:col>
      <xdr:colOff>730250</xdr:colOff>
      <xdr:row>63</xdr:row>
      <xdr:rowOff>158750</xdr:rowOff>
    </xdr:from>
    <xdr:to>
      <xdr:col>5</xdr:col>
      <xdr:colOff>394608</xdr:colOff>
      <xdr:row>67</xdr:row>
      <xdr:rowOff>22677</xdr:rowOff>
    </xdr:to>
    <xdr:pic>
      <xdr:nvPicPr>
        <xdr:cNvPr id="18" name="Imagem 17">
          <a:extLst>
            <a:ext uri="{FF2B5EF4-FFF2-40B4-BE49-F238E27FC236}">
              <a16:creationId xmlns:a16="http://schemas.microsoft.com/office/drawing/2014/main" id="{8D756A7F-49EA-4518-9075-EB2D4C34154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55750" y="13287375"/>
          <a:ext cx="1537607" cy="625927"/>
        </a:xfrm>
        <a:prstGeom prst="rect">
          <a:avLst/>
        </a:prstGeom>
      </xdr:spPr>
    </xdr:pic>
    <xdr:clientData/>
  </xdr:twoCellAnchor>
  <xdr:twoCellAnchor editAs="oneCell">
    <xdr:from>
      <xdr:col>2</xdr:col>
      <xdr:colOff>254000</xdr:colOff>
      <xdr:row>6</xdr:row>
      <xdr:rowOff>38100</xdr:rowOff>
    </xdr:from>
    <xdr:to>
      <xdr:col>6</xdr:col>
      <xdr:colOff>390071</xdr:colOff>
      <xdr:row>8</xdr:row>
      <xdr:rowOff>172358</xdr:rowOff>
    </xdr:to>
    <xdr:pic>
      <xdr:nvPicPr>
        <xdr:cNvPr id="6" name="Imagem 5">
          <a:extLst>
            <a:ext uri="{FF2B5EF4-FFF2-40B4-BE49-F238E27FC236}">
              <a16:creationId xmlns:a16="http://schemas.microsoft.com/office/drawing/2014/main" id="{F7B1B505-CE47-400F-A766-E468ADE5894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79500" y="1104900"/>
          <a:ext cx="2460171" cy="566058"/>
        </a:xfrm>
        <a:prstGeom prst="rect">
          <a:avLst/>
        </a:prstGeom>
      </xdr:spPr>
    </xdr:pic>
    <xdr:clientData/>
  </xdr:twoCellAnchor>
  <xdr:twoCellAnchor editAs="oneCell">
    <xdr:from>
      <xdr:col>2</xdr:col>
      <xdr:colOff>25401</xdr:colOff>
      <xdr:row>39</xdr:row>
      <xdr:rowOff>88900</xdr:rowOff>
    </xdr:from>
    <xdr:to>
      <xdr:col>5</xdr:col>
      <xdr:colOff>342901</xdr:colOff>
      <xdr:row>41</xdr:row>
      <xdr:rowOff>177800</xdr:rowOff>
    </xdr:to>
    <xdr:pic>
      <xdr:nvPicPr>
        <xdr:cNvPr id="7" name="Imagem 6">
          <a:extLst>
            <a:ext uri="{FF2B5EF4-FFF2-40B4-BE49-F238E27FC236}">
              <a16:creationId xmlns:a16="http://schemas.microsoft.com/office/drawing/2014/main" id="{044BE1FF-2094-4EF5-97FD-ED423842B6C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50901" y="8432800"/>
          <a:ext cx="2235199" cy="469900"/>
        </a:xfrm>
        <a:prstGeom prst="rect">
          <a:avLst/>
        </a:prstGeom>
      </xdr:spPr>
    </xdr:pic>
    <xdr:clientData/>
  </xdr:twoCellAnchor>
  <xdr:twoCellAnchor>
    <xdr:from>
      <xdr:col>13</xdr:col>
      <xdr:colOff>639232</xdr:colOff>
      <xdr:row>27</xdr:row>
      <xdr:rowOff>116417</xdr:rowOff>
    </xdr:from>
    <xdr:to>
      <xdr:col>16</xdr:col>
      <xdr:colOff>1894415</xdr:colOff>
      <xdr:row>28</xdr:row>
      <xdr:rowOff>148167</xdr:rowOff>
    </xdr:to>
    <xdr:sp macro="" textlink="">
      <xdr:nvSpPr>
        <xdr:cNvPr id="3073" name="Text Box 1">
          <a:extLst>
            <a:ext uri="{FF2B5EF4-FFF2-40B4-BE49-F238E27FC236}">
              <a16:creationId xmlns:a16="http://schemas.microsoft.com/office/drawing/2014/main" id="{68F49CDD-7096-1EB5-5A6E-BBE3621B2127}"/>
            </a:ext>
          </a:extLst>
        </xdr:cNvPr>
        <xdr:cNvSpPr txBox="1">
          <a:spLocks noChangeArrowheads="1"/>
        </xdr:cNvSpPr>
      </xdr:nvSpPr>
      <xdr:spPr bwMode="auto">
        <a:xfrm>
          <a:off x="7454899" y="6244167"/>
          <a:ext cx="2842683" cy="211667"/>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pt-BR" sz="1100" b="0" i="0" u="none" strike="noStrike" baseline="0">
              <a:solidFill>
                <a:srgbClr val="000000"/>
              </a:solidFill>
              <a:latin typeface="Calibri"/>
              <a:ea typeface="Calibri"/>
              <a:cs typeface="Calibri"/>
            </a:rPr>
            <a:t>AV PRESIDENTE EPITACIO PES 753,ANDAR 11 SALA 1108</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1000125</xdr:colOff>
      <xdr:row>37</xdr:row>
      <xdr:rowOff>85726</xdr:rowOff>
    </xdr:from>
    <xdr:to>
      <xdr:col>5</xdr:col>
      <xdr:colOff>858157</xdr:colOff>
      <xdr:row>40</xdr:row>
      <xdr:rowOff>9526</xdr:rowOff>
    </xdr:to>
    <xdr:pic>
      <xdr:nvPicPr>
        <xdr:cNvPr id="6" name="Imagem 5">
          <a:extLst>
            <a:ext uri="{FF2B5EF4-FFF2-40B4-BE49-F238E27FC236}">
              <a16:creationId xmlns:a16="http://schemas.microsoft.com/office/drawing/2014/main" id="{B626E300-8184-4D3A-A99C-0C7B8AC72F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57675" y="7667626"/>
          <a:ext cx="1537607" cy="533400"/>
        </a:xfrm>
        <a:prstGeom prst="rect">
          <a:avLst/>
        </a:prstGeom>
      </xdr:spPr>
    </xdr:pic>
    <xdr:clientData/>
  </xdr:twoCellAnchor>
  <xdr:twoCellAnchor editAs="oneCell">
    <xdr:from>
      <xdr:col>0</xdr:col>
      <xdr:colOff>1</xdr:colOff>
      <xdr:row>0</xdr:row>
      <xdr:rowOff>99060</xdr:rowOff>
    </xdr:from>
    <xdr:to>
      <xdr:col>1</xdr:col>
      <xdr:colOff>662941</xdr:colOff>
      <xdr:row>1</xdr:row>
      <xdr:rowOff>373380</xdr:rowOff>
    </xdr:to>
    <xdr:pic>
      <xdr:nvPicPr>
        <xdr:cNvPr id="4" name="Imagem 3">
          <a:extLst>
            <a:ext uri="{FF2B5EF4-FFF2-40B4-BE49-F238E27FC236}">
              <a16:creationId xmlns:a16="http://schemas.microsoft.com/office/drawing/2014/main" id="{EB89C4F8-1DC2-4926-91EF-2078DDFD5B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99060"/>
          <a:ext cx="1036320" cy="4648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2966357</xdr:colOff>
      <xdr:row>30</xdr:row>
      <xdr:rowOff>176894</xdr:rowOff>
    </xdr:to>
    <xdr:pic>
      <xdr:nvPicPr>
        <xdr:cNvPr id="2" name="Imagem 1">
          <a:extLst>
            <a:ext uri="{FF2B5EF4-FFF2-40B4-BE49-F238E27FC236}">
              <a16:creationId xmlns:a16="http://schemas.microsoft.com/office/drawing/2014/main" id="{BB088323-F40C-4109-B6A4-94AB49EDC93E}"/>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0" y="0"/>
          <a:ext cx="11693071" cy="6935108"/>
        </a:xfrm>
        <a:prstGeom prst="rect">
          <a:avLst/>
        </a:prstGeom>
      </xdr:spPr>
    </xdr:pic>
    <xdr:clientData/>
  </xdr:twoCellAnchor>
  <xdr:twoCellAnchor editAs="oneCell">
    <xdr:from>
      <xdr:col>0</xdr:col>
      <xdr:colOff>0</xdr:colOff>
      <xdr:row>31</xdr:row>
      <xdr:rowOff>127001</xdr:rowOff>
    </xdr:from>
    <xdr:to>
      <xdr:col>17</xdr:col>
      <xdr:colOff>481440</xdr:colOff>
      <xdr:row>73</xdr:row>
      <xdr:rowOff>117931</xdr:rowOff>
    </xdr:to>
    <xdr:pic>
      <xdr:nvPicPr>
        <xdr:cNvPr id="4" name="Imagem 3">
          <a:extLst>
            <a:ext uri="{FF2B5EF4-FFF2-40B4-BE49-F238E27FC236}">
              <a16:creationId xmlns:a16="http://schemas.microsoft.com/office/drawing/2014/main" id="{CD7F9406-29D9-4593-AC25-98473C1F0ADD}"/>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0" y="7084787"/>
          <a:ext cx="12365011" cy="7901215"/>
        </a:xfrm>
        <a:prstGeom prst="rect">
          <a:avLst/>
        </a:prstGeom>
      </xdr:spPr>
    </xdr:pic>
    <xdr:clientData/>
  </xdr:twoCellAnchor>
  <xdr:twoCellAnchor editAs="oneCell">
    <xdr:from>
      <xdr:col>14</xdr:col>
      <xdr:colOff>507908</xdr:colOff>
      <xdr:row>0</xdr:row>
      <xdr:rowOff>95250</xdr:rowOff>
    </xdr:from>
    <xdr:to>
      <xdr:col>16</xdr:col>
      <xdr:colOff>1583616</xdr:colOff>
      <xdr:row>9</xdr:row>
      <xdr:rowOff>32606</xdr:rowOff>
    </xdr:to>
    <xdr:pic>
      <xdr:nvPicPr>
        <xdr:cNvPr id="10" name="Imagem 9">
          <a:extLst>
            <a:ext uri="{FF2B5EF4-FFF2-40B4-BE49-F238E27FC236}">
              <a16:creationId xmlns:a16="http://schemas.microsoft.com/office/drawing/2014/main" id="{8E3CFE93-F541-43E9-A9F9-7ACE50967725}"/>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74122" y="95250"/>
          <a:ext cx="1987386" cy="1787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476250</xdr:colOff>
      <xdr:row>32</xdr:row>
      <xdr:rowOff>68035</xdr:rowOff>
    </xdr:from>
    <xdr:to>
      <xdr:col>16</xdr:col>
      <xdr:colOff>1597223</xdr:colOff>
      <xdr:row>41</xdr:row>
      <xdr:rowOff>182184</xdr:rowOff>
    </xdr:to>
    <xdr:pic>
      <xdr:nvPicPr>
        <xdr:cNvPr id="11" name="Imagem 10">
          <a:extLst>
            <a:ext uri="{FF2B5EF4-FFF2-40B4-BE49-F238E27FC236}">
              <a16:creationId xmlns:a16="http://schemas.microsoft.com/office/drawing/2014/main" id="{D1D96C85-35BB-4498-9EBE-77FDB7BCFF14}"/>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42464" y="7361464"/>
          <a:ext cx="2032651" cy="1828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217714</xdr:colOff>
      <xdr:row>65</xdr:row>
      <xdr:rowOff>95250</xdr:rowOff>
    </xdr:from>
    <xdr:to>
      <xdr:col>4</xdr:col>
      <xdr:colOff>513183</xdr:colOff>
      <xdr:row>66</xdr:row>
      <xdr:rowOff>176894</xdr:rowOff>
    </xdr:to>
    <xdr:pic>
      <xdr:nvPicPr>
        <xdr:cNvPr id="8" name="Imagem 2" descr="Assinaturas-Gilton">
          <a:extLst>
            <a:ext uri="{FF2B5EF4-FFF2-40B4-BE49-F238E27FC236}">
              <a16:creationId xmlns:a16="http://schemas.microsoft.com/office/drawing/2014/main" id="{55C8CD67-157D-4000-9EE3-F70BB58861C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7750" y="13784036"/>
          <a:ext cx="1438469" cy="272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625929</xdr:colOff>
      <xdr:row>23</xdr:row>
      <xdr:rowOff>163286</xdr:rowOff>
    </xdr:from>
    <xdr:to>
      <xdr:col>11</xdr:col>
      <xdr:colOff>27214</xdr:colOff>
      <xdr:row>26</xdr:row>
      <xdr:rowOff>68035</xdr:rowOff>
    </xdr:to>
    <xdr:pic>
      <xdr:nvPicPr>
        <xdr:cNvPr id="12" name="Imagem 11">
          <a:extLst>
            <a:ext uri="{FF2B5EF4-FFF2-40B4-BE49-F238E27FC236}">
              <a16:creationId xmlns:a16="http://schemas.microsoft.com/office/drawing/2014/main" id="{CA4C8922-87D1-4935-94C6-92472C4DE5E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476750" y="5606143"/>
          <a:ext cx="1537607" cy="625927"/>
        </a:xfrm>
        <a:prstGeom prst="rect">
          <a:avLst/>
        </a:prstGeom>
      </xdr:spPr>
    </xdr:pic>
    <xdr:clientData/>
  </xdr:twoCellAnchor>
  <xdr:twoCellAnchor editAs="oneCell">
    <xdr:from>
      <xdr:col>3</xdr:col>
      <xdr:colOff>0</xdr:colOff>
      <xdr:row>23</xdr:row>
      <xdr:rowOff>163286</xdr:rowOff>
    </xdr:from>
    <xdr:to>
      <xdr:col>6</xdr:col>
      <xdr:colOff>0</xdr:colOff>
      <xdr:row>26</xdr:row>
      <xdr:rowOff>68035</xdr:rowOff>
    </xdr:to>
    <xdr:pic>
      <xdr:nvPicPr>
        <xdr:cNvPr id="13" name="Imagem 12">
          <a:extLst>
            <a:ext uri="{FF2B5EF4-FFF2-40B4-BE49-F238E27FC236}">
              <a16:creationId xmlns:a16="http://schemas.microsoft.com/office/drawing/2014/main" id="{25BE6710-15D9-4C0B-A8B6-F1E72253CF5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42357" y="5606143"/>
          <a:ext cx="1537607" cy="625927"/>
        </a:xfrm>
        <a:prstGeom prst="rect">
          <a:avLst/>
        </a:prstGeom>
      </xdr:spPr>
    </xdr:pic>
    <xdr:clientData/>
  </xdr:twoCellAnchor>
  <xdr:twoCellAnchor editAs="oneCell">
    <xdr:from>
      <xdr:col>2</xdr:col>
      <xdr:colOff>141515</xdr:colOff>
      <xdr:row>6</xdr:row>
      <xdr:rowOff>43543</xdr:rowOff>
    </xdr:from>
    <xdr:to>
      <xdr:col>6</xdr:col>
      <xdr:colOff>435429</xdr:colOff>
      <xdr:row>8</xdr:row>
      <xdr:rowOff>174173</xdr:rowOff>
    </xdr:to>
    <xdr:pic>
      <xdr:nvPicPr>
        <xdr:cNvPr id="7" name="Imagem 6">
          <a:extLst>
            <a:ext uri="{FF2B5EF4-FFF2-40B4-BE49-F238E27FC236}">
              <a16:creationId xmlns:a16="http://schemas.microsoft.com/office/drawing/2014/main" id="{1D07A1FF-2F10-481C-8B35-09DB88CB44A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68829" y="1153886"/>
          <a:ext cx="2460171" cy="566058"/>
        </a:xfrm>
        <a:prstGeom prst="rect">
          <a:avLst/>
        </a:prstGeom>
      </xdr:spPr>
    </xdr:pic>
    <xdr:clientData/>
  </xdr:twoCellAnchor>
  <xdr:twoCellAnchor editAs="oneCell">
    <xdr:from>
      <xdr:col>2</xdr:col>
      <xdr:colOff>43544</xdr:colOff>
      <xdr:row>39</xdr:row>
      <xdr:rowOff>87085</xdr:rowOff>
    </xdr:from>
    <xdr:to>
      <xdr:col>6</xdr:col>
      <xdr:colOff>185059</xdr:colOff>
      <xdr:row>41</xdr:row>
      <xdr:rowOff>108857</xdr:rowOff>
    </xdr:to>
    <xdr:pic>
      <xdr:nvPicPr>
        <xdr:cNvPr id="14" name="Imagem 13">
          <a:extLst>
            <a:ext uri="{FF2B5EF4-FFF2-40B4-BE49-F238E27FC236}">
              <a16:creationId xmlns:a16="http://schemas.microsoft.com/office/drawing/2014/main" id="{8B4C4DB6-A499-424A-9F69-C08B9AA3765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70858" y="8675914"/>
          <a:ext cx="2307772" cy="4136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278623</xdr:colOff>
      <xdr:row>45</xdr:row>
      <xdr:rowOff>87475</xdr:rowOff>
    </xdr:from>
    <xdr:to>
      <xdr:col>4</xdr:col>
      <xdr:colOff>1334797</xdr:colOff>
      <xdr:row>47</xdr:row>
      <xdr:rowOff>136071</xdr:rowOff>
    </xdr:to>
    <xdr:pic>
      <xdr:nvPicPr>
        <xdr:cNvPr id="5" name="Imagem 4">
          <a:extLst>
            <a:ext uri="{FF2B5EF4-FFF2-40B4-BE49-F238E27FC236}">
              <a16:creationId xmlns:a16="http://schemas.microsoft.com/office/drawing/2014/main" id="{303E51B5-9DA3-4003-8745-95B5924282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44337" y="8407271"/>
          <a:ext cx="1056174" cy="463290"/>
        </a:xfrm>
        <a:prstGeom prst="rect">
          <a:avLst/>
        </a:prstGeom>
      </xdr:spPr>
    </xdr:pic>
    <xdr:clientData/>
  </xdr:twoCellAnchor>
  <xdr:twoCellAnchor editAs="oneCell">
    <xdr:from>
      <xdr:col>0</xdr:col>
      <xdr:colOff>1</xdr:colOff>
      <xdr:row>0</xdr:row>
      <xdr:rowOff>46653</xdr:rowOff>
    </xdr:from>
    <xdr:to>
      <xdr:col>1</xdr:col>
      <xdr:colOff>676471</xdr:colOff>
      <xdr:row>1</xdr:row>
      <xdr:rowOff>396551</xdr:rowOff>
    </xdr:to>
    <xdr:pic>
      <xdr:nvPicPr>
        <xdr:cNvPr id="4" name="Imagem 3">
          <a:extLst>
            <a:ext uri="{FF2B5EF4-FFF2-40B4-BE49-F238E27FC236}">
              <a16:creationId xmlns:a16="http://schemas.microsoft.com/office/drawing/2014/main" id="{05C72D16-60CA-400D-AE64-09F51F3208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46653"/>
          <a:ext cx="1049694" cy="5442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381000</xdr:colOff>
      <xdr:row>31</xdr:row>
      <xdr:rowOff>13607</xdr:rowOff>
    </xdr:to>
    <xdr:pic>
      <xdr:nvPicPr>
        <xdr:cNvPr id="2" name="Imagem 1">
          <a:extLst>
            <a:ext uri="{FF2B5EF4-FFF2-40B4-BE49-F238E27FC236}">
              <a16:creationId xmlns:a16="http://schemas.microsoft.com/office/drawing/2014/main" id="{91A75BEC-7622-40A0-A90C-5698C78E233F}"/>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0" y="0"/>
          <a:ext cx="10504714" cy="6935107"/>
        </a:xfrm>
        <a:prstGeom prst="rect">
          <a:avLst/>
        </a:prstGeom>
      </xdr:spPr>
    </xdr:pic>
    <xdr:clientData/>
  </xdr:twoCellAnchor>
  <xdr:twoCellAnchor editAs="oneCell">
    <xdr:from>
      <xdr:col>0</xdr:col>
      <xdr:colOff>0</xdr:colOff>
      <xdr:row>31</xdr:row>
      <xdr:rowOff>31749</xdr:rowOff>
    </xdr:from>
    <xdr:to>
      <xdr:col>17</xdr:col>
      <xdr:colOff>489857</xdr:colOff>
      <xdr:row>68</xdr:row>
      <xdr:rowOff>45357</xdr:rowOff>
    </xdr:to>
    <xdr:pic>
      <xdr:nvPicPr>
        <xdr:cNvPr id="4" name="Imagem 3">
          <a:extLst>
            <a:ext uri="{FF2B5EF4-FFF2-40B4-BE49-F238E27FC236}">
              <a16:creationId xmlns:a16="http://schemas.microsoft.com/office/drawing/2014/main" id="{18517ADA-AF7B-405E-A335-E09E51962732}"/>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0" y="6953249"/>
          <a:ext cx="10613571" cy="6980465"/>
        </a:xfrm>
        <a:prstGeom prst="rect">
          <a:avLst/>
        </a:prstGeom>
      </xdr:spPr>
    </xdr:pic>
    <xdr:clientData/>
  </xdr:twoCellAnchor>
  <xdr:twoCellAnchor editAs="oneCell">
    <xdr:from>
      <xdr:col>16</xdr:col>
      <xdr:colOff>67071</xdr:colOff>
      <xdr:row>0</xdr:row>
      <xdr:rowOff>54429</xdr:rowOff>
    </xdr:from>
    <xdr:to>
      <xdr:col>16</xdr:col>
      <xdr:colOff>1564822</xdr:colOff>
      <xdr:row>6</xdr:row>
      <xdr:rowOff>108754</xdr:rowOff>
    </xdr:to>
    <xdr:pic>
      <xdr:nvPicPr>
        <xdr:cNvPr id="6" name="Picture 9">
          <a:extLst>
            <a:ext uri="{FF2B5EF4-FFF2-40B4-BE49-F238E27FC236}">
              <a16:creationId xmlns:a16="http://schemas.microsoft.com/office/drawing/2014/main" id="{AE3E1F74-BEF8-4E69-893B-5601F43C4F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29996" y="54429"/>
          <a:ext cx="1497751" cy="119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40821</xdr:colOff>
      <xdr:row>32</xdr:row>
      <xdr:rowOff>108857</xdr:rowOff>
    </xdr:from>
    <xdr:to>
      <xdr:col>16</xdr:col>
      <xdr:colOff>1538572</xdr:colOff>
      <xdr:row>38</xdr:row>
      <xdr:rowOff>163182</xdr:rowOff>
    </xdr:to>
    <xdr:pic>
      <xdr:nvPicPr>
        <xdr:cNvPr id="7" name="Picture 9">
          <a:extLst>
            <a:ext uri="{FF2B5EF4-FFF2-40B4-BE49-F238E27FC236}">
              <a16:creationId xmlns:a16="http://schemas.microsoft.com/office/drawing/2014/main" id="{960F349A-6080-4C4A-965F-865BAF502F4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3746" y="7366907"/>
          <a:ext cx="1497751" cy="119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476250</xdr:colOff>
      <xdr:row>21</xdr:row>
      <xdr:rowOff>244931</xdr:rowOff>
    </xdr:from>
    <xdr:to>
      <xdr:col>6</xdr:col>
      <xdr:colOff>217716</xdr:colOff>
      <xdr:row>25</xdr:row>
      <xdr:rowOff>1</xdr:rowOff>
    </xdr:to>
    <xdr:pic>
      <xdr:nvPicPr>
        <xdr:cNvPr id="22" name="Imagem 21">
          <a:extLst>
            <a:ext uri="{FF2B5EF4-FFF2-40B4-BE49-F238E27FC236}">
              <a16:creationId xmlns:a16="http://schemas.microsoft.com/office/drawing/2014/main" id="{9E58DFF6-AE6C-491E-97A3-B462EE30949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06286" y="5129895"/>
          <a:ext cx="1891394" cy="789213"/>
        </a:xfrm>
        <a:prstGeom prst="rect">
          <a:avLst/>
        </a:prstGeom>
      </xdr:spPr>
    </xdr:pic>
    <xdr:clientData/>
  </xdr:twoCellAnchor>
  <xdr:twoCellAnchor editAs="oneCell">
    <xdr:from>
      <xdr:col>2</xdr:col>
      <xdr:colOff>353786</xdr:colOff>
      <xdr:row>37</xdr:row>
      <xdr:rowOff>61686</xdr:rowOff>
    </xdr:from>
    <xdr:to>
      <xdr:col>6</xdr:col>
      <xdr:colOff>154215</xdr:colOff>
      <xdr:row>40</xdr:row>
      <xdr:rowOff>81641</xdr:rowOff>
    </xdr:to>
    <xdr:pic>
      <xdr:nvPicPr>
        <xdr:cNvPr id="8" name="Imagem 7">
          <a:extLst>
            <a:ext uri="{FF2B5EF4-FFF2-40B4-BE49-F238E27FC236}">
              <a16:creationId xmlns:a16="http://schemas.microsoft.com/office/drawing/2014/main" id="{8AA7117C-BE9D-4810-A69A-E2D1D2E92C5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88357" y="8071757"/>
          <a:ext cx="1977572" cy="573313"/>
        </a:xfrm>
        <a:prstGeom prst="rect">
          <a:avLst/>
        </a:prstGeom>
      </xdr:spPr>
    </xdr:pic>
    <xdr:clientData/>
  </xdr:twoCellAnchor>
  <xdr:twoCellAnchor editAs="oneCell">
    <xdr:from>
      <xdr:col>2</xdr:col>
      <xdr:colOff>272144</xdr:colOff>
      <xdr:row>6</xdr:row>
      <xdr:rowOff>97971</xdr:rowOff>
    </xdr:from>
    <xdr:to>
      <xdr:col>6</xdr:col>
      <xdr:colOff>566058</xdr:colOff>
      <xdr:row>8</xdr:row>
      <xdr:rowOff>228601</xdr:rowOff>
    </xdr:to>
    <xdr:pic>
      <xdr:nvPicPr>
        <xdr:cNvPr id="10" name="Imagem 9">
          <a:extLst>
            <a:ext uri="{FF2B5EF4-FFF2-40B4-BE49-F238E27FC236}">
              <a16:creationId xmlns:a16="http://schemas.microsoft.com/office/drawing/2014/main" id="{04C92147-CD11-4BBE-9425-71A580983F2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99458" y="1208314"/>
          <a:ext cx="2460171" cy="56605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19440</xdr:colOff>
      <xdr:row>43</xdr:row>
      <xdr:rowOff>38877</xdr:rowOff>
    </xdr:from>
    <xdr:to>
      <xdr:col>5</xdr:col>
      <xdr:colOff>1671735</xdr:colOff>
      <xdr:row>45</xdr:row>
      <xdr:rowOff>176891</xdr:rowOff>
    </xdr:to>
    <xdr:pic>
      <xdr:nvPicPr>
        <xdr:cNvPr id="6" name="Imagem 5">
          <a:extLst>
            <a:ext uri="{FF2B5EF4-FFF2-40B4-BE49-F238E27FC236}">
              <a16:creationId xmlns:a16="http://schemas.microsoft.com/office/drawing/2014/main" id="{F003109F-AD4C-4D73-A02A-E5EC8BEF79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88853" y="8689132"/>
          <a:ext cx="1652295" cy="565667"/>
        </a:xfrm>
        <a:prstGeom prst="rect">
          <a:avLst/>
        </a:prstGeom>
      </xdr:spPr>
    </xdr:pic>
    <xdr:clientData/>
  </xdr:twoCellAnchor>
  <xdr:twoCellAnchor editAs="oneCell">
    <xdr:from>
      <xdr:col>0</xdr:col>
      <xdr:colOff>1</xdr:colOff>
      <xdr:row>0</xdr:row>
      <xdr:rowOff>77755</xdr:rowOff>
    </xdr:from>
    <xdr:to>
      <xdr:col>1</xdr:col>
      <xdr:colOff>583163</xdr:colOff>
      <xdr:row>1</xdr:row>
      <xdr:rowOff>378151</xdr:rowOff>
    </xdr:to>
    <xdr:pic>
      <xdr:nvPicPr>
        <xdr:cNvPr id="3" name="Imagem 2">
          <a:extLst>
            <a:ext uri="{FF2B5EF4-FFF2-40B4-BE49-F238E27FC236}">
              <a16:creationId xmlns:a16="http://schemas.microsoft.com/office/drawing/2014/main" id="{479E2775-D789-42B6-953F-3023B4309D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 y="77755"/>
          <a:ext cx="965458" cy="48830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172358</xdr:rowOff>
    </xdr:from>
    <xdr:to>
      <xdr:col>16</xdr:col>
      <xdr:colOff>1709963</xdr:colOff>
      <xdr:row>33</xdr:row>
      <xdr:rowOff>136072</xdr:rowOff>
    </xdr:to>
    <xdr:pic>
      <xdr:nvPicPr>
        <xdr:cNvPr id="2" name="Imagem 1">
          <a:extLst>
            <a:ext uri="{FF2B5EF4-FFF2-40B4-BE49-F238E27FC236}">
              <a16:creationId xmlns:a16="http://schemas.microsoft.com/office/drawing/2014/main" id="{6B05642B-FD46-4DA0-A27A-7778F3FB2198}"/>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0" y="535215"/>
          <a:ext cx="10146392" cy="6930571"/>
        </a:xfrm>
        <a:prstGeom prst="rect">
          <a:avLst/>
        </a:prstGeom>
      </xdr:spPr>
    </xdr:pic>
    <xdr:clientData/>
  </xdr:twoCellAnchor>
  <xdr:twoCellAnchor editAs="oneCell">
    <xdr:from>
      <xdr:col>0</xdr:col>
      <xdr:colOff>0</xdr:colOff>
      <xdr:row>31</xdr:row>
      <xdr:rowOff>154215</xdr:rowOff>
    </xdr:from>
    <xdr:to>
      <xdr:col>16</xdr:col>
      <xdr:colOff>1737178</xdr:colOff>
      <xdr:row>68</xdr:row>
      <xdr:rowOff>167823</xdr:rowOff>
    </xdr:to>
    <xdr:pic>
      <xdr:nvPicPr>
        <xdr:cNvPr id="5" name="Imagem 4">
          <a:extLst>
            <a:ext uri="{FF2B5EF4-FFF2-40B4-BE49-F238E27FC236}">
              <a16:creationId xmlns:a16="http://schemas.microsoft.com/office/drawing/2014/main" id="{45E42B19-5698-4DED-9A72-5EFE9D104691}"/>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0" y="7102929"/>
          <a:ext cx="10173607" cy="6980465"/>
        </a:xfrm>
        <a:prstGeom prst="rect">
          <a:avLst/>
        </a:prstGeom>
      </xdr:spPr>
    </xdr:pic>
    <xdr:clientData/>
  </xdr:twoCellAnchor>
  <xdr:twoCellAnchor editAs="oneCell">
    <xdr:from>
      <xdr:col>16</xdr:col>
      <xdr:colOff>175928</xdr:colOff>
      <xdr:row>0</xdr:row>
      <xdr:rowOff>54429</xdr:rowOff>
    </xdr:from>
    <xdr:to>
      <xdr:col>16</xdr:col>
      <xdr:colOff>1524000</xdr:colOff>
      <xdr:row>5</xdr:row>
      <xdr:rowOff>179598</xdr:rowOff>
    </xdr:to>
    <xdr:pic>
      <xdr:nvPicPr>
        <xdr:cNvPr id="8" name="Picture 9">
          <a:extLst>
            <a:ext uri="{FF2B5EF4-FFF2-40B4-BE49-F238E27FC236}">
              <a16:creationId xmlns:a16="http://schemas.microsoft.com/office/drawing/2014/main" id="{F3C13B2D-D4AE-4DE1-9E50-1B922412012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53821" y="54429"/>
          <a:ext cx="1348072" cy="10776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40821</xdr:colOff>
      <xdr:row>32</xdr:row>
      <xdr:rowOff>108857</xdr:rowOff>
    </xdr:from>
    <xdr:to>
      <xdr:col>16</xdr:col>
      <xdr:colOff>1538572</xdr:colOff>
      <xdr:row>38</xdr:row>
      <xdr:rowOff>163183</xdr:rowOff>
    </xdr:to>
    <xdr:pic>
      <xdr:nvPicPr>
        <xdr:cNvPr id="9" name="Picture 9">
          <a:extLst>
            <a:ext uri="{FF2B5EF4-FFF2-40B4-BE49-F238E27FC236}">
              <a16:creationId xmlns:a16="http://schemas.microsoft.com/office/drawing/2014/main" id="{CFE3E2A0-E23B-4B19-A524-A84CD98A7E4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18714" y="7402286"/>
          <a:ext cx="1497751" cy="119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476249</xdr:colOff>
      <xdr:row>23</xdr:row>
      <xdr:rowOff>68036</xdr:rowOff>
    </xdr:from>
    <xdr:to>
      <xdr:col>6</xdr:col>
      <xdr:colOff>217715</xdr:colOff>
      <xdr:row>26</xdr:row>
      <xdr:rowOff>70754</xdr:rowOff>
    </xdr:to>
    <xdr:pic>
      <xdr:nvPicPr>
        <xdr:cNvPr id="12" name="Imagem 11">
          <a:extLst>
            <a:ext uri="{FF2B5EF4-FFF2-40B4-BE49-F238E27FC236}">
              <a16:creationId xmlns:a16="http://schemas.microsoft.com/office/drawing/2014/main" id="{BF3CC83E-DC96-44BC-9934-5161C9087AE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06285" y="5524500"/>
          <a:ext cx="1891394" cy="707569"/>
        </a:xfrm>
        <a:prstGeom prst="rect">
          <a:avLst/>
        </a:prstGeom>
      </xdr:spPr>
    </xdr:pic>
    <xdr:clientData/>
  </xdr:twoCellAnchor>
  <xdr:twoCellAnchor editAs="oneCell">
    <xdr:from>
      <xdr:col>2</xdr:col>
      <xdr:colOff>571501</xdr:colOff>
      <xdr:row>64</xdr:row>
      <xdr:rowOff>95250</xdr:rowOff>
    </xdr:from>
    <xdr:to>
      <xdr:col>5</xdr:col>
      <xdr:colOff>353787</xdr:colOff>
      <xdr:row>67</xdr:row>
      <xdr:rowOff>149676</xdr:rowOff>
    </xdr:to>
    <xdr:pic>
      <xdr:nvPicPr>
        <xdr:cNvPr id="16" name="Imagem 15">
          <a:extLst>
            <a:ext uri="{FF2B5EF4-FFF2-40B4-BE49-F238E27FC236}">
              <a16:creationId xmlns:a16="http://schemas.microsoft.com/office/drawing/2014/main" id="{0EB00B07-49C4-4672-AA32-1CA6A26C66A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01537" y="13607143"/>
          <a:ext cx="1537607" cy="625927"/>
        </a:xfrm>
        <a:prstGeom prst="rect">
          <a:avLst/>
        </a:prstGeom>
      </xdr:spPr>
    </xdr:pic>
    <xdr:clientData/>
  </xdr:twoCellAnchor>
  <xdr:twoCellAnchor editAs="oneCell">
    <xdr:from>
      <xdr:col>2</xdr:col>
      <xdr:colOff>195943</xdr:colOff>
      <xdr:row>6</xdr:row>
      <xdr:rowOff>65314</xdr:rowOff>
    </xdr:from>
    <xdr:to>
      <xdr:col>4</xdr:col>
      <xdr:colOff>117928</xdr:colOff>
      <xdr:row>8</xdr:row>
      <xdr:rowOff>195944</xdr:rowOff>
    </xdr:to>
    <xdr:pic>
      <xdr:nvPicPr>
        <xdr:cNvPr id="4" name="Imagem 3">
          <a:extLst>
            <a:ext uri="{FF2B5EF4-FFF2-40B4-BE49-F238E27FC236}">
              <a16:creationId xmlns:a16="http://schemas.microsoft.com/office/drawing/2014/main" id="{81E2FFBE-85A5-4793-B5D0-1727E444CA4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30514" y="1153885"/>
          <a:ext cx="1074057" cy="566059"/>
        </a:xfrm>
        <a:prstGeom prst="rect">
          <a:avLst/>
        </a:prstGeom>
      </xdr:spPr>
    </xdr:pic>
    <xdr:clientData/>
  </xdr:twoCellAnchor>
  <xdr:twoCellAnchor editAs="oneCell">
    <xdr:from>
      <xdr:col>2</xdr:col>
      <xdr:colOff>54429</xdr:colOff>
      <xdr:row>39</xdr:row>
      <xdr:rowOff>119743</xdr:rowOff>
    </xdr:from>
    <xdr:to>
      <xdr:col>6</xdr:col>
      <xdr:colOff>130630</xdr:colOff>
      <xdr:row>41</xdr:row>
      <xdr:rowOff>150587</xdr:rowOff>
    </xdr:to>
    <xdr:pic>
      <xdr:nvPicPr>
        <xdr:cNvPr id="7" name="Imagem 6">
          <a:extLst>
            <a:ext uri="{FF2B5EF4-FFF2-40B4-BE49-F238E27FC236}">
              <a16:creationId xmlns:a16="http://schemas.microsoft.com/office/drawing/2014/main" id="{8AB6B75C-B970-4795-8448-BB2D03B929C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81743" y="8719457"/>
          <a:ext cx="2242458" cy="42273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60960</xdr:rowOff>
    </xdr:from>
    <xdr:to>
      <xdr:col>1</xdr:col>
      <xdr:colOff>662940</xdr:colOff>
      <xdr:row>1</xdr:row>
      <xdr:rowOff>365760</xdr:rowOff>
    </xdr:to>
    <xdr:pic>
      <xdr:nvPicPr>
        <xdr:cNvPr id="4" name="Imagem 3">
          <a:extLst>
            <a:ext uri="{FF2B5EF4-FFF2-40B4-BE49-F238E27FC236}">
              <a16:creationId xmlns:a16="http://schemas.microsoft.com/office/drawing/2014/main" id="{14E7D722-E02D-4084-9E8C-2C63CBF4FD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0960"/>
          <a:ext cx="1036320" cy="487680"/>
        </a:xfrm>
        <a:prstGeom prst="rect">
          <a:avLst/>
        </a:prstGeom>
      </xdr:spPr>
    </xdr:pic>
    <xdr:clientData/>
  </xdr:twoCellAnchor>
  <xdr:twoCellAnchor editAs="oneCell">
    <xdr:from>
      <xdr:col>5</xdr:col>
      <xdr:colOff>89435</xdr:colOff>
      <xdr:row>4</xdr:row>
      <xdr:rowOff>121072</xdr:rowOff>
    </xdr:from>
    <xdr:to>
      <xdr:col>5</xdr:col>
      <xdr:colOff>1658792</xdr:colOff>
      <xdr:row>6</xdr:row>
      <xdr:rowOff>12359</xdr:rowOff>
    </xdr:to>
    <xdr:pic>
      <xdr:nvPicPr>
        <xdr:cNvPr id="3" name="Imagem 2">
          <a:extLst>
            <a:ext uri="{FF2B5EF4-FFF2-40B4-BE49-F238E27FC236}">
              <a16:creationId xmlns:a16="http://schemas.microsoft.com/office/drawing/2014/main" id="{A05B27E6-2646-4901-A845-98593A107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rot="21361465">
          <a:off x="4769385" y="1098972"/>
          <a:ext cx="1569357" cy="2659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1617435</xdr:colOff>
      <xdr:row>31</xdr:row>
      <xdr:rowOff>167822</xdr:rowOff>
    </xdr:to>
    <xdr:pic>
      <xdr:nvPicPr>
        <xdr:cNvPr id="3" name="Imagem 2">
          <a:extLst>
            <a:ext uri="{FF2B5EF4-FFF2-40B4-BE49-F238E27FC236}">
              <a16:creationId xmlns:a16="http://schemas.microsoft.com/office/drawing/2014/main" id="{28F8A15E-18F8-4CCD-8C9D-82861A80C19A}"/>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0" y="0"/>
          <a:ext cx="10135506" cy="6962322"/>
        </a:xfrm>
        <a:prstGeom prst="rect">
          <a:avLst/>
        </a:prstGeom>
      </xdr:spPr>
    </xdr:pic>
    <xdr:clientData/>
  </xdr:twoCellAnchor>
  <xdr:twoCellAnchor editAs="oneCell">
    <xdr:from>
      <xdr:col>14</xdr:col>
      <xdr:colOff>525235</xdr:colOff>
      <xdr:row>0</xdr:row>
      <xdr:rowOff>63954</xdr:rowOff>
    </xdr:from>
    <xdr:to>
      <xdr:col>17</xdr:col>
      <xdr:colOff>99784</xdr:colOff>
      <xdr:row>10</xdr:row>
      <xdr:rowOff>27215</xdr:rowOff>
    </xdr:to>
    <xdr:pic>
      <xdr:nvPicPr>
        <xdr:cNvPr id="5" name="Imagem 4">
          <a:extLst>
            <a:ext uri="{FF2B5EF4-FFF2-40B4-BE49-F238E27FC236}">
              <a16:creationId xmlns:a16="http://schemas.microsoft.com/office/drawing/2014/main" id="{A7406428-D0C2-4FB4-85BC-787B8CEF6CA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8949" y="63954"/>
          <a:ext cx="2141764" cy="1995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32</xdr:row>
      <xdr:rowOff>25400</xdr:rowOff>
    </xdr:from>
    <xdr:to>
      <xdr:col>17</xdr:col>
      <xdr:colOff>131536</xdr:colOff>
      <xdr:row>66</xdr:row>
      <xdr:rowOff>188262</xdr:rowOff>
    </xdr:to>
    <xdr:pic>
      <xdr:nvPicPr>
        <xdr:cNvPr id="6" name="Imagem 5">
          <a:extLst>
            <a:ext uri="{FF2B5EF4-FFF2-40B4-BE49-F238E27FC236}">
              <a16:creationId xmlns:a16="http://schemas.microsoft.com/office/drawing/2014/main" id="{A525A511-178F-422C-890E-816AE0F298C6}"/>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0" y="7010400"/>
          <a:ext cx="10273393" cy="7238576"/>
        </a:xfrm>
        <a:prstGeom prst="rect">
          <a:avLst/>
        </a:prstGeom>
      </xdr:spPr>
    </xdr:pic>
    <xdr:clientData/>
  </xdr:twoCellAnchor>
  <xdr:twoCellAnchor editAs="oneCell">
    <xdr:from>
      <xdr:col>14</xdr:col>
      <xdr:colOff>457201</xdr:colOff>
      <xdr:row>32</xdr:row>
      <xdr:rowOff>68035</xdr:rowOff>
    </xdr:from>
    <xdr:to>
      <xdr:col>17</xdr:col>
      <xdr:colOff>31749</xdr:colOff>
      <xdr:row>43</xdr:row>
      <xdr:rowOff>44902</xdr:rowOff>
    </xdr:to>
    <xdr:pic>
      <xdr:nvPicPr>
        <xdr:cNvPr id="10" name="Imagem 9">
          <a:extLst>
            <a:ext uri="{FF2B5EF4-FFF2-40B4-BE49-F238E27FC236}">
              <a16:creationId xmlns:a16="http://schemas.microsoft.com/office/drawing/2014/main" id="{8A139ED7-B0EF-4F95-9BD4-AE80674100F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40915" y="7098392"/>
          <a:ext cx="2069192" cy="19997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27214</xdr:colOff>
      <xdr:row>21</xdr:row>
      <xdr:rowOff>122464</xdr:rowOff>
    </xdr:from>
    <xdr:to>
      <xdr:col>5</xdr:col>
      <xdr:colOff>362857</xdr:colOff>
      <xdr:row>23</xdr:row>
      <xdr:rowOff>231320</xdr:rowOff>
    </xdr:to>
    <xdr:pic>
      <xdr:nvPicPr>
        <xdr:cNvPr id="14" name="Imagem 13">
          <a:extLst>
            <a:ext uri="{FF2B5EF4-FFF2-40B4-BE49-F238E27FC236}">
              <a16:creationId xmlns:a16="http://schemas.microsoft.com/office/drawing/2014/main" id="{B3B839C6-9EB0-4481-8A38-D1E93D88D7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rot="21361465">
          <a:off x="1469571" y="5075464"/>
          <a:ext cx="1537607" cy="625927"/>
        </a:xfrm>
        <a:prstGeom prst="rect">
          <a:avLst/>
        </a:prstGeom>
      </xdr:spPr>
    </xdr:pic>
    <xdr:clientData/>
  </xdr:twoCellAnchor>
  <xdr:twoCellAnchor editAs="oneCell">
    <xdr:from>
      <xdr:col>8</xdr:col>
      <xdr:colOff>657678</xdr:colOff>
      <xdr:row>62</xdr:row>
      <xdr:rowOff>9072</xdr:rowOff>
    </xdr:from>
    <xdr:to>
      <xdr:col>11</xdr:col>
      <xdr:colOff>31750</xdr:colOff>
      <xdr:row>64</xdr:row>
      <xdr:rowOff>72570</xdr:rowOff>
    </xdr:to>
    <xdr:pic>
      <xdr:nvPicPr>
        <xdr:cNvPr id="19" name="Imagem 18">
          <a:extLst>
            <a:ext uri="{FF2B5EF4-FFF2-40B4-BE49-F238E27FC236}">
              <a16:creationId xmlns:a16="http://schemas.microsoft.com/office/drawing/2014/main" id="{C9FA7050-2F3B-4AE0-9B65-780A55EE08C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rot="21361465">
          <a:off x="4658178" y="13117286"/>
          <a:ext cx="1614715" cy="625927"/>
        </a:xfrm>
        <a:prstGeom prst="rect">
          <a:avLst/>
        </a:prstGeom>
      </xdr:spPr>
    </xdr:pic>
    <xdr:clientData/>
  </xdr:twoCellAnchor>
  <xdr:twoCellAnchor editAs="oneCell">
    <xdr:from>
      <xdr:col>2</xdr:col>
      <xdr:colOff>206829</xdr:colOff>
      <xdr:row>6</xdr:row>
      <xdr:rowOff>108857</xdr:rowOff>
    </xdr:from>
    <xdr:to>
      <xdr:col>6</xdr:col>
      <xdr:colOff>435428</xdr:colOff>
      <xdr:row>8</xdr:row>
      <xdr:rowOff>239487</xdr:rowOff>
    </xdr:to>
    <xdr:pic>
      <xdr:nvPicPr>
        <xdr:cNvPr id="8" name="Imagem 7">
          <a:extLst>
            <a:ext uri="{FF2B5EF4-FFF2-40B4-BE49-F238E27FC236}">
              <a16:creationId xmlns:a16="http://schemas.microsoft.com/office/drawing/2014/main" id="{7779C45B-3D13-3C65-5A3F-0B61D2850BF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34143" y="1219200"/>
          <a:ext cx="2460171" cy="566058"/>
        </a:xfrm>
        <a:prstGeom prst="rect">
          <a:avLst/>
        </a:prstGeom>
      </xdr:spPr>
    </xdr:pic>
    <xdr:clientData/>
  </xdr:twoCellAnchor>
  <xdr:twoCellAnchor editAs="oneCell">
    <xdr:from>
      <xdr:col>2</xdr:col>
      <xdr:colOff>335644</xdr:colOff>
      <xdr:row>39</xdr:row>
      <xdr:rowOff>107044</xdr:rowOff>
    </xdr:from>
    <xdr:to>
      <xdr:col>6</xdr:col>
      <xdr:colOff>564243</xdr:colOff>
      <xdr:row>42</xdr:row>
      <xdr:rowOff>101603</xdr:rowOff>
    </xdr:to>
    <xdr:pic>
      <xdr:nvPicPr>
        <xdr:cNvPr id="4" name="Imagem 3">
          <a:extLst>
            <a:ext uri="{FF2B5EF4-FFF2-40B4-BE49-F238E27FC236}">
              <a16:creationId xmlns:a16="http://schemas.microsoft.com/office/drawing/2014/main" id="{7DB52342-8380-4705-B24F-5182F204B68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0215" y="8362044"/>
          <a:ext cx="2487385" cy="56605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1629833</xdr:colOff>
      <xdr:row>42</xdr:row>
      <xdr:rowOff>63501</xdr:rowOff>
    </xdr:from>
    <xdr:to>
      <xdr:col>2</xdr:col>
      <xdr:colOff>426357</xdr:colOff>
      <xdr:row>45</xdr:row>
      <xdr:rowOff>117927</xdr:rowOff>
    </xdr:to>
    <xdr:pic>
      <xdr:nvPicPr>
        <xdr:cNvPr id="4" name="Imagem 3">
          <a:extLst>
            <a:ext uri="{FF2B5EF4-FFF2-40B4-BE49-F238E27FC236}">
              <a16:creationId xmlns:a16="http://schemas.microsoft.com/office/drawing/2014/main" id="{B0F5A52E-4DFE-4C3D-899B-3262C4221F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25750" y="30861001"/>
          <a:ext cx="1537607" cy="625927"/>
        </a:xfrm>
        <a:prstGeom prst="rect">
          <a:avLst/>
        </a:prstGeom>
      </xdr:spPr>
    </xdr:pic>
    <xdr:clientData/>
  </xdr:twoCellAnchor>
  <xdr:twoCellAnchor editAs="oneCell">
    <xdr:from>
      <xdr:col>0</xdr:col>
      <xdr:colOff>62753</xdr:colOff>
      <xdr:row>0</xdr:row>
      <xdr:rowOff>44824</xdr:rowOff>
    </xdr:from>
    <xdr:to>
      <xdr:col>0</xdr:col>
      <xdr:colOff>1068294</xdr:colOff>
      <xdr:row>0</xdr:row>
      <xdr:rowOff>552824</xdr:rowOff>
    </xdr:to>
    <xdr:pic>
      <xdr:nvPicPr>
        <xdr:cNvPr id="3" name="Imagem 2">
          <a:extLst>
            <a:ext uri="{FF2B5EF4-FFF2-40B4-BE49-F238E27FC236}">
              <a16:creationId xmlns:a16="http://schemas.microsoft.com/office/drawing/2014/main" id="{9884F695-BE91-4DC2-9B58-BBE848AC2C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753" y="44824"/>
          <a:ext cx="1005541" cy="508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72887</xdr:colOff>
      <xdr:row>30</xdr:row>
      <xdr:rowOff>132521</xdr:rowOff>
    </xdr:from>
    <xdr:to>
      <xdr:col>2</xdr:col>
      <xdr:colOff>127000</xdr:colOff>
      <xdr:row>32</xdr:row>
      <xdr:rowOff>132521</xdr:rowOff>
    </xdr:to>
    <xdr:pic>
      <xdr:nvPicPr>
        <xdr:cNvPr id="4" name="Imagem 3">
          <a:extLst>
            <a:ext uri="{FF2B5EF4-FFF2-40B4-BE49-F238E27FC236}">
              <a16:creationId xmlns:a16="http://schemas.microsoft.com/office/drawing/2014/main" id="{4FEE3909-3D20-42F8-8C28-2FB9FE016E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887" y="9552608"/>
          <a:ext cx="1324113" cy="364435"/>
        </a:xfrm>
        <a:prstGeom prst="rect">
          <a:avLst/>
        </a:prstGeom>
      </xdr:spPr>
    </xdr:pic>
    <xdr:clientData/>
  </xdr:twoCellAnchor>
  <xdr:twoCellAnchor editAs="oneCell">
    <xdr:from>
      <xdr:col>0</xdr:col>
      <xdr:colOff>49697</xdr:colOff>
      <xdr:row>0</xdr:row>
      <xdr:rowOff>79512</xdr:rowOff>
    </xdr:from>
    <xdr:to>
      <xdr:col>2</xdr:col>
      <xdr:colOff>71783</xdr:colOff>
      <xdr:row>2</xdr:row>
      <xdr:rowOff>115956</xdr:rowOff>
    </xdr:to>
    <xdr:pic>
      <xdr:nvPicPr>
        <xdr:cNvPr id="7" name="Imagem 6">
          <a:extLst>
            <a:ext uri="{FF2B5EF4-FFF2-40B4-BE49-F238E27FC236}">
              <a16:creationId xmlns:a16="http://schemas.microsoft.com/office/drawing/2014/main" id="{41028061-F206-49FF-8E84-264268FF8E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697" y="79512"/>
          <a:ext cx="1292086" cy="40087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CR-03.049%20-%20DER%20-%20LOTE%2024%20-%205%20LAGOS\02%20-%20OBRAS\6%20-%20SMS\03-INTEGRA&#199;&#195;O\TALUDE\OS%20E%20EPI%20AUTOMATIZADO%20DER%20LOTE%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EINAMENTO DE NR 11"/>
      <sheetName val="CERTIFICADO DE NR 11"/>
      <sheetName val="TREINAMENTO DE NR 12 PORTATEIS"/>
      <sheetName val="CERTIFICADO DE NR 12 PORTATEIS"/>
      <sheetName val="TREINAMENTO DE NR 12"/>
      <sheetName val="CERTIFICADO DE NR 12"/>
      <sheetName val="TREINAMENTO DE INTEGRAÇÃO"/>
      <sheetName val="CERTIFICADO DE NR 18"/>
      <sheetName val="ORDEM DE SERVIÇO"/>
      <sheetName val="FICHA DE EPI"/>
      <sheetName val="MATRIZ FUNÇÃO"/>
      <sheetName val="MATRIZ FUNCIONÁRIOS"/>
      <sheetName val="MATRIZ EP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CA</v>
          </cell>
          <cell r="B1" t="str">
            <v>DESCRIÇÃO DO EPI</v>
          </cell>
        </row>
        <row r="2">
          <cell r="A2">
            <v>365</v>
          </cell>
          <cell r="B2" t="str">
            <v>CAPACETE ABA TOTAL C/ JUGULAR B</v>
          </cell>
        </row>
        <row r="3">
          <cell r="A3">
            <v>44639</v>
          </cell>
          <cell r="B3" t="str">
            <v>BOTINA DE SEGURANÇA</v>
          </cell>
        </row>
        <row r="4">
          <cell r="A4">
            <v>19578</v>
          </cell>
          <cell r="B4" t="str">
            <v>PROTETOR AURICULAR TIPO PLUG</v>
          </cell>
        </row>
        <row r="5">
          <cell r="A5">
            <v>31469</v>
          </cell>
          <cell r="B5" t="str">
            <v>CAPACETE COM JUGULAR CLASSE B</v>
          </cell>
        </row>
        <row r="6">
          <cell r="A6">
            <v>37930</v>
          </cell>
          <cell r="B6" t="str">
            <v>PAR DE LUVAS PIGMENTADA</v>
          </cell>
        </row>
        <row r="7">
          <cell r="A7">
            <v>37154</v>
          </cell>
          <cell r="B7" t="str">
            <v>PAR DE LUVAS PVC FORRADAS</v>
          </cell>
        </row>
        <row r="8">
          <cell r="A8">
            <v>34653</v>
          </cell>
          <cell r="B8" t="str">
            <v>ÓCULOS DE SEGURANÇA RAY</v>
          </cell>
        </row>
        <row r="9">
          <cell r="A9">
            <v>35194</v>
          </cell>
          <cell r="B9" t="str">
            <v>PAR DE LUVA DE RASPA</v>
          </cell>
        </row>
        <row r="10">
          <cell r="A10">
            <v>36250</v>
          </cell>
          <cell r="B10" t="str">
            <v>LUVA DE VAQUETA</v>
          </cell>
        </row>
        <row r="11">
          <cell r="A11">
            <v>36250</v>
          </cell>
          <cell r="B11" t="str">
            <v>PAR DE LUVAS MISTA RASPA/VAQUETA</v>
          </cell>
        </row>
        <row r="12">
          <cell r="A12">
            <v>28449</v>
          </cell>
          <cell r="B12" t="str">
            <v>CAPA DE CHUVA AMARELA</v>
          </cell>
        </row>
        <row r="13">
          <cell r="A13">
            <v>34570</v>
          </cell>
          <cell r="B13" t="str">
            <v>PAR DE LUVAS DE BORRACHA PVC</v>
          </cell>
        </row>
        <row r="14">
          <cell r="A14">
            <v>38400</v>
          </cell>
          <cell r="B14" t="str">
            <v>LUVA ISOLANTE CLASSE 00 500V</v>
          </cell>
        </row>
        <row r="15">
          <cell r="A15">
            <v>39236</v>
          </cell>
          <cell r="B15" t="str">
            <v>MÁSCARA TIPO PPF2</v>
          </cell>
        </row>
        <row r="16">
          <cell r="A16">
            <v>41405</v>
          </cell>
          <cell r="B16" t="str">
            <v>PAR DE LUVA P/IMPACTO</v>
          </cell>
        </row>
        <row r="17">
          <cell r="A17">
            <v>18190</v>
          </cell>
          <cell r="B17" t="str">
            <v>PROTETOR AURICULAR TIPO PLUG</v>
          </cell>
        </row>
        <row r="18">
          <cell r="A18">
            <v>39183</v>
          </cell>
          <cell r="B18" t="str">
            <v>MACACÃO DE PROTEÇÃO</v>
          </cell>
        </row>
        <row r="19">
          <cell r="A19">
            <v>34593</v>
          </cell>
          <cell r="B19" t="str">
            <v>PAR DE LUVAS PLASTCOR</v>
          </cell>
        </row>
        <row r="20">
          <cell r="A20" t="str">
            <v>SEM CA</v>
          </cell>
          <cell r="B20" t="str">
            <v>MANTAS DE COURO</v>
          </cell>
        </row>
        <row r="21">
          <cell r="A21" t="str">
            <v>SOL</v>
          </cell>
          <cell r="B21" t="str">
            <v>PROTETOR SOLAR LUVEX UV F60</v>
          </cell>
        </row>
        <row r="22">
          <cell r="A22" t="str">
            <v>UNI</v>
          </cell>
          <cell r="B22" t="str">
            <v>CONJ. UNIFORME</v>
          </cell>
        </row>
        <row r="23">
          <cell r="A23">
            <v>41285</v>
          </cell>
          <cell r="B23" t="str">
            <v xml:space="preserve">PAR DE PERNEIRA </v>
          </cell>
        </row>
        <row r="24">
          <cell r="A24">
            <v>14197</v>
          </cell>
          <cell r="B24" t="str">
            <v>PROTETOR FACIAL VISEIRA</v>
          </cell>
        </row>
        <row r="25">
          <cell r="A25">
            <v>37154</v>
          </cell>
          <cell r="B25" t="str">
            <v>BOTA DE BORRACHA</v>
          </cell>
        </row>
        <row r="26">
          <cell r="A26">
            <v>34218</v>
          </cell>
          <cell r="B26" t="str">
            <v>PROTETOR AURICULAR TIPO CONCHA</v>
          </cell>
        </row>
        <row r="27">
          <cell r="A27">
            <v>25390</v>
          </cell>
          <cell r="B27" t="str">
            <v>AVENTAL DE COURO</v>
          </cell>
        </row>
        <row r="28">
          <cell r="A28">
            <v>34653</v>
          </cell>
          <cell r="B28" t="str">
            <v>OCULOS SEGURANÇA INCOLOR</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C839A-2AEF-4B33-97A4-B3A2C18FEE46}">
  <dimension ref="A1:H47"/>
  <sheetViews>
    <sheetView zoomScale="98" zoomScaleNormal="98" workbookViewId="0">
      <selection activeCell="M5" sqref="M5"/>
    </sheetView>
  </sheetViews>
  <sheetFormatPr defaultRowHeight="14.5" x14ac:dyDescent="0.35"/>
  <cols>
    <col min="1" max="1" width="5.453125" customWidth="1"/>
    <col min="2" max="2" width="10.1796875" customWidth="1"/>
    <col min="3" max="3" width="16.6328125" customWidth="1"/>
    <col min="4" max="4" width="23.81640625" customWidth="1"/>
    <col min="5" max="5" width="23.1796875" customWidth="1"/>
    <col min="6" max="6" width="16.26953125" customWidth="1"/>
  </cols>
  <sheetData>
    <row r="1" spans="1:6" ht="15" customHeight="1" x14ac:dyDescent="0.35">
      <c r="A1" s="212"/>
      <c r="B1" s="213"/>
      <c r="C1" s="216" t="s">
        <v>155</v>
      </c>
      <c r="D1" s="217"/>
      <c r="E1" s="217"/>
      <c r="F1" s="218"/>
    </row>
    <row r="2" spans="1:6" ht="33.75" customHeight="1" x14ac:dyDescent="0.35">
      <c r="A2" s="214"/>
      <c r="B2" s="215"/>
      <c r="C2" s="219" t="s">
        <v>244</v>
      </c>
      <c r="D2" s="220"/>
      <c r="E2" s="220"/>
      <c r="F2" s="221"/>
    </row>
    <row r="3" spans="1:6" x14ac:dyDescent="0.35">
      <c r="A3" s="189" t="s">
        <v>164</v>
      </c>
      <c r="B3" s="190"/>
      <c r="C3" s="191"/>
      <c r="D3" s="189" t="s">
        <v>163</v>
      </c>
      <c r="E3" s="191"/>
      <c r="F3" s="101" t="s">
        <v>162</v>
      </c>
    </row>
    <row r="4" spans="1:6" x14ac:dyDescent="0.35">
      <c r="A4" s="192" t="s">
        <v>602</v>
      </c>
      <c r="B4" s="193"/>
      <c r="C4" s="194"/>
      <c r="D4" s="210" t="s">
        <v>603</v>
      </c>
      <c r="E4" s="211"/>
      <c r="F4" s="75">
        <v>46260</v>
      </c>
    </row>
    <row r="5" spans="1:6" x14ac:dyDescent="0.35">
      <c r="A5" s="189" t="s">
        <v>158</v>
      </c>
      <c r="B5" s="190"/>
      <c r="C5" s="191"/>
      <c r="D5" s="189" t="s">
        <v>159</v>
      </c>
      <c r="E5" s="191"/>
      <c r="F5" s="101" t="s">
        <v>156</v>
      </c>
    </row>
    <row r="6" spans="1:6" x14ac:dyDescent="0.35">
      <c r="A6" s="192" t="s">
        <v>452</v>
      </c>
      <c r="B6" s="193"/>
      <c r="C6" s="194"/>
      <c r="D6" s="192" t="s">
        <v>161</v>
      </c>
      <c r="E6" s="194"/>
      <c r="F6" s="74" t="s">
        <v>157</v>
      </c>
    </row>
    <row r="7" spans="1:6" x14ac:dyDescent="0.35">
      <c r="A7" s="195" t="s">
        <v>160</v>
      </c>
      <c r="B7" s="195"/>
      <c r="C7" s="195"/>
      <c r="D7" s="195"/>
      <c r="E7" s="195"/>
      <c r="F7" s="195"/>
    </row>
    <row r="8" spans="1:6" ht="15" customHeight="1" x14ac:dyDescent="0.35">
      <c r="A8" s="196" t="s">
        <v>245</v>
      </c>
      <c r="B8" s="197"/>
      <c r="C8" s="197"/>
      <c r="D8" s="197"/>
      <c r="E8" s="197"/>
      <c r="F8" s="198"/>
    </row>
    <row r="9" spans="1:6" x14ac:dyDescent="0.35">
      <c r="A9" s="199"/>
      <c r="B9" s="200"/>
      <c r="C9" s="200"/>
      <c r="D9" s="200"/>
      <c r="E9" s="200"/>
      <c r="F9" s="201"/>
    </row>
    <row r="10" spans="1:6" x14ac:dyDescent="0.35">
      <c r="A10" s="199"/>
      <c r="B10" s="200"/>
      <c r="C10" s="200"/>
      <c r="D10" s="200"/>
      <c r="E10" s="200"/>
      <c r="F10" s="201"/>
    </row>
    <row r="11" spans="1:6" x14ac:dyDescent="0.35">
      <c r="A11" s="199"/>
      <c r="B11" s="200"/>
      <c r="C11" s="200"/>
      <c r="D11" s="200"/>
      <c r="E11" s="200"/>
      <c r="F11" s="201"/>
    </row>
    <row r="12" spans="1:6" x14ac:dyDescent="0.35">
      <c r="A12" s="199"/>
      <c r="B12" s="200"/>
      <c r="C12" s="200"/>
      <c r="D12" s="200"/>
      <c r="E12" s="200"/>
      <c r="F12" s="201"/>
    </row>
    <row r="13" spans="1:6" x14ac:dyDescent="0.35">
      <c r="A13" s="199"/>
      <c r="B13" s="200"/>
      <c r="C13" s="200"/>
      <c r="D13" s="200"/>
      <c r="E13" s="200"/>
      <c r="F13" s="201"/>
    </row>
    <row r="14" spans="1:6" x14ac:dyDescent="0.35">
      <c r="A14" s="199"/>
      <c r="B14" s="200"/>
      <c r="C14" s="200"/>
      <c r="D14" s="200"/>
      <c r="E14" s="200"/>
      <c r="F14" s="201"/>
    </row>
    <row r="15" spans="1:6" x14ac:dyDescent="0.35">
      <c r="A15" s="199"/>
      <c r="B15" s="200"/>
      <c r="C15" s="200"/>
      <c r="D15" s="200"/>
      <c r="E15" s="200"/>
      <c r="F15" s="201"/>
    </row>
    <row r="16" spans="1:6" x14ac:dyDescent="0.35">
      <c r="A16" s="199"/>
      <c r="B16" s="200"/>
      <c r="C16" s="200"/>
      <c r="D16" s="200"/>
      <c r="E16" s="200"/>
      <c r="F16" s="201"/>
    </row>
    <row r="17" spans="1:6" x14ac:dyDescent="0.35">
      <c r="A17" s="199"/>
      <c r="B17" s="200"/>
      <c r="C17" s="200"/>
      <c r="D17" s="200"/>
      <c r="E17" s="200"/>
      <c r="F17" s="201"/>
    </row>
    <row r="18" spans="1:6" x14ac:dyDescent="0.35">
      <c r="A18" s="199"/>
      <c r="B18" s="200"/>
      <c r="C18" s="200"/>
      <c r="D18" s="200"/>
      <c r="E18" s="200"/>
      <c r="F18" s="201"/>
    </row>
    <row r="19" spans="1:6" x14ac:dyDescent="0.35">
      <c r="A19" s="199"/>
      <c r="B19" s="200"/>
      <c r="C19" s="200"/>
      <c r="D19" s="200"/>
      <c r="E19" s="200"/>
      <c r="F19" s="201"/>
    </row>
    <row r="20" spans="1:6" ht="10.5" customHeight="1" x14ac:dyDescent="0.35">
      <c r="A20" s="199"/>
      <c r="B20" s="200"/>
      <c r="C20" s="200"/>
      <c r="D20" s="200"/>
      <c r="E20" s="200"/>
      <c r="F20" s="201"/>
    </row>
    <row r="21" spans="1:6" hidden="1" x14ac:dyDescent="0.35">
      <c r="A21" s="199"/>
      <c r="B21" s="200"/>
      <c r="C21" s="200"/>
      <c r="D21" s="200"/>
      <c r="E21" s="200"/>
      <c r="F21" s="201"/>
    </row>
    <row r="22" spans="1:6" hidden="1" x14ac:dyDescent="0.35">
      <c r="A22" s="199"/>
      <c r="B22" s="200"/>
      <c r="C22" s="200"/>
      <c r="D22" s="200"/>
      <c r="E22" s="200"/>
      <c r="F22" s="201"/>
    </row>
    <row r="23" spans="1:6" ht="10" hidden="1" customHeight="1" x14ac:dyDescent="0.35">
      <c r="A23" s="199"/>
      <c r="B23" s="200"/>
      <c r="C23" s="200"/>
      <c r="D23" s="200"/>
      <c r="E23" s="200"/>
      <c r="F23" s="201"/>
    </row>
    <row r="24" spans="1:6" hidden="1" x14ac:dyDescent="0.35">
      <c r="A24" s="199"/>
      <c r="B24" s="200"/>
      <c r="C24" s="200"/>
      <c r="D24" s="200"/>
      <c r="E24" s="200"/>
      <c r="F24" s="201"/>
    </row>
    <row r="25" spans="1:6" hidden="1" x14ac:dyDescent="0.35">
      <c r="A25" s="199"/>
      <c r="B25" s="200"/>
      <c r="C25" s="200"/>
      <c r="D25" s="200"/>
      <c r="E25" s="200"/>
      <c r="F25" s="201"/>
    </row>
    <row r="26" spans="1:6" hidden="1" x14ac:dyDescent="0.35">
      <c r="A26" s="199"/>
      <c r="B26" s="200"/>
      <c r="C26" s="200"/>
      <c r="D26" s="200"/>
      <c r="E26" s="200"/>
      <c r="F26" s="201"/>
    </row>
    <row r="27" spans="1:6" hidden="1" x14ac:dyDescent="0.35">
      <c r="A27" s="199"/>
      <c r="B27" s="200"/>
      <c r="C27" s="200"/>
      <c r="D27" s="200"/>
      <c r="E27" s="200"/>
      <c r="F27" s="201"/>
    </row>
    <row r="28" spans="1:6" ht="21.5" hidden="1" customHeight="1" x14ac:dyDescent="0.35">
      <c r="A28" s="199"/>
      <c r="B28" s="200"/>
      <c r="C28" s="200"/>
      <c r="D28" s="200"/>
      <c r="E28" s="200"/>
      <c r="F28" s="201"/>
    </row>
    <row r="29" spans="1:6" ht="15" customHeight="1" x14ac:dyDescent="0.35">
      <c r="A29" s="202" t="s">
        <v>250</v>
      </c>
      <c r="B29" s="203"/>
      <c r="C29" s="203"/>
      <c r="D29" s="203"/>
      <c r="E29" s="203"/>
      <c r="F29" s="204"/>
    </row>
    <row r="30" spans="1:6" x14ac:dyDescent="0.35">
      <c r="A30" s="205"/>
      <c r="B30" s="206"/>
      <c r="C30" s="206"/>
      <c r="D30" s="206"/>
      <c r="E30" s="206"/>
      <c r="F30" s="207"/>
    </row>
    <row r="32" spans="1:6" x14ac:dyDescent="0.35">
      <c r="A32" s="68" t="s">
        <v>116</v>
      </c>
      <c r="B32" s="68" t="s">
        <v>120</v>
      </c>
      <c r="C32" s="208" t="s">
        <v>117</v>
      </c>
      <c r="D32" s="208"/>
      <c r="E32" s="68" t="s">
        <v>118</v>
      </c>
      <c r="F32" s="68" t="s">
        <v>119</v>
      </c>
    </row>
    <row r="33" spans="1:8" x14ac:dyDescent="0.35">
      <c r="A33" s="67">
        <v>1</v>
      </c>
      <c r="B33" s="46">
        <v>550</v>
      </c>
      <c r="C33" s="209" t="str">
        <f>VLOOKUP(B33,'MATRIZ FUNCIONÁRIOS'!A:H,2,0)</f>
        <v>JOSÉ IGOR GALVÃO SILVA</v>
      </c>
      <c r="D33" s="209"/>
      <c r="E33" s="131" t="str">
        <f>VLOOKUP(B33,'MATRIZ FUNCIONÁRIOS'!A:H,3,0)</f>
        <v xml:space="preserve">AJUDANTE  DE OBRAS </v>
      </c>
      <c r="F33" s="132"/>
    </row>
    <row r="34" spans="1:8" x14ac:dyDescent="0.35">
      <c r="A34" s="67">
        <v>2</v>
      </c>
      <c r="B34" s="46"/>
      <c r="C34" s="185" t="e">
        <f>VLOOKUP(B34,'MATRIZ FUNCIONÁRIOS'!A:H,2,0)</f>
        <v>#N/A</v>
      </c>
      <c r="D34" s="185"/>
      <c r="E34" s="70" t="e">
        <f>VLOOKUP(B34,'MATRIZ FUNCIONÁRIOS'!A:H,3,0)</f>
        <v>#N/A</v>
      </c>
      <c r="F34" s="69"/>
    </row>
    <row r="35" spans="1:8" x14ac:dyDescent="0.35">
      <c r="A35" s="67">
        <v>3</v>
      </c>
      <c r="B35" s="46"/>
      <c r="C35" s="185" t="e">
        <f>VLOOKUP(B35,'MATRIZ FUNCIONÁRIOS'!A:H,2,0)</f>
        <v>#N/A</v>
      </c>
      <c r="D35" s="185"/>
      <c r="E35" s="45" t="e">
        <f>VLOOKUP(B35,'MATRIZ FUNCIONÁRIOS'!A:H,3,0)</f>
        <v>#N/A</v>
      </c>
      <c r="F35" s="69"/>
    </row>
    <row r="36" spans="1:8" x14ac:dyDescent="0.35">
      <c r="A36" s="67">
        <v>4</v>
      </c>
      <c r="B36" s="46"/>
      <c r="C36" s="185" t="e">
        <f>VLOOKUP(B36,'MATRIZ FUNCIONÁRIOS'!A:H,2,0)</f>
        <v>#N/A</v>
      </c>
      <c r="D36" s="185"/>
      <c r="E36" s="45" t="e">
        <f>VLOOKUP(B36,'MATRIZ FUNCIONÁRIOS'!A:H,3,0)</f>
        <v>#N/A</v>
      </c>
      <c r="F36" s="69"/>
    </row>
    <row r="37" spans="1:8" x14ac:dyDescent="0.35">
      <c r="A37" s="67">
        <v>5</v>
      </c>
      <c r="B37" s="46"/>
      <c r="C37" s="185" t="e">
        <f>VLOOKUP(B37,'MATRIZ FUNCIONÁRIOS'!A:H,2,0)</f>
        <v>#N/A</v>
      </c>
      <c r="D37" s="185"/>
      <c r="E37" s="45" t="e">
        <f>VLOOKUP(B37,'MATRIZ FUNCIONÁRIOS'!A:H,3,0)</f>
        <v>#N/A</v>
      </c>
      <c r="F37" s="69"/>
    </row>
    <row r="38" spans="1:8" x14ac:dyDescent="0.35">
      <c r="A38" s="67">
        <v>6</v>
      </c>
      <c r="B38" s="46"/>
      <c r="C38" s="185" t="e">
        <f>VLOOKUP(B38,'MATRIZ FUNCIONÁRIOS'!A:H,2,0)</f>
        <v>#N/A</v>
      </c>
      <c r="D38" s="185"/>
      <c r="E38" s="45" t="e">
        <f>VLOOKUP(B38,'MATRIZ FUNCIONÁRIOS'!A:H,3,0)</f>
        <v>#N/A</v>
      </c>
      <c r="F38" s="69"/>
    </row>
    <row r="39" spans="1:8" x14ac:dyDescent="0.35">
      <c r="A39" s="67">
        <v>7</v>
      </c>
      <c r="B39" s="46"/>
      <c r="C39" s="185" t="e">
        <f>VLOOKUP(B39,'MATRIZ FUNCIONÁRIOS'!A:H,2,0)</f>
        <v>#N/A</v>
      </c>
      <c r="D39" s="185"/>
      <c r="E39" s="45" t="e">
        <f>VLOOKUP(B39,'MATRIZ FUNCIONÁRIOS'!A:H,3,0)</f>
        <v>#N/A</v>
      </c>
      <c r="F39" s="69"/>
    </row>
    <row r="40" spans="1:8" x14ac:dyDescent="0.35">
      <c r="A40" s="67">
        <v>8</v>
      </c>
      <c r="B40" s="46"/>
      <c r="C40" s="185" t="e">
        <f>VLOOKUP(B40,'MATRIZ FUNCIONÁRIOS'!A:H,2,0)</f>
        <v>#N/A</v>
      </c>
      <c r="D40" s="185"/>
      <c r="E40" s="45" t="e">
        <f>VLOOKUP(B40,'MATRIZ FUNCIONÁRIOS'!A:H,3,0)</f>
        <v>#N/A</v>
      </c>
      <c r="F40" s="69"/>
    </row>
    <row r="41" spans="1:8" x14ac:dyDescent="0.35">
      <c r="A41" s="67">
        <v>9</v>
      </c>
      <c r="B41" s="46"/>
      <c r="C41" s="185" t="e">
        <f>VLOOKUP(B41,'MATRIZ FUNCIONÁRIOS'!A:H,2,0)</f>
        <v>#N/A</v>
      </c>
      <c r="D41" s="185"/>
      <c r="E41" s="45" t="e">
        <f>VLOOKUP(B41,'MATRIZ FUNCIONÁRIOS'!A:H,3,0)</f>
        <v>#N/A</v>
      </c>
      <c r="F41" s="69"/>
    </row>
    <row r="42" spans="1:8" x14ac:dyDescent="0.35">
      <c r="A42" s="67">
        <v>10</v>
      </c>
      <c r="B42" s="46"/>
      <c r="C42" s="185" t="e">
        <f>VLOOKUP(B42,'MATRIZ FUNCIONÁRIOS'!A:H,2,0)</f>
        <v>#N/A</v>
      </c>
      <c r="D42" s="186"/>
      <c r="E42" s="45" t="e">
        <f>VLOOKUP(B42,'MATRIZ FUNCIONÁRIOS'!A:H,3,0)</f>
        <v>#N/A</v>
      </c>
      <c r="F42" s="69"/>
    </row>
    <row r="43" spans="1:8" x14ac:dyDescent="0.35">
      <c r="A43" s="67">
        <v>11</v>
      </c>
      <c r="B43" s="46"/>
      <c r="C43" s="185" t="e">
        <f>VLOOKUP(B43,'MATRIZ FUNCIONÁRIOS'!A:H,2,0)</f>
        <v>#N/A</v>
      </c>
      <c r="D43" s="186"/>
      <c r="E43" s="45" t="e">
        <f>VLOOKUP(B43,'MATRIZ FUNCIONÁRIOS'!A:H,3,0)</f>
        <v>#N/A</v>
      </c>
      <c r="F43" s="69"/>
    </row>
    <row r="44" spans="1:8" ht="18" customHeight="1" x14ac:dyDescent="0.35">
      <c r="A44" s="187" t="s">
        <v>166</v>
      </c>
      <c r="B44" s="187"/>
      <c r="C44" s="187"/>
      <c r="D44" s="187"/>
      <c r="E44" s="188"/>
      <c r="F44" s="188"/>
      <c r="G44" s="102"/>
      <c r="H44" s="102"/>
    </row>
    <row r="45" spans="1:8" ht="15" customHeight="1" x14ac:dyDescent="0.35">
      <c r="A45" s="187"/>
      <c r="B45" s="187"/>
      <c r="C45" s="187"/>
      <c r="D45" s="187"/>
      <c r="E45" s="188"/>
      <c r="F45" s="188"/>
      <c r="G45" s="102"/>
      <c r="H45" s="102"/>
    </row>
    <row r="46" spans="1:8" x14ac:dyDescent="0.35">
      <c r="A46" s="187"/>
      <c r="B46" s="187"/>
      <c r="C46" s="187"/>
      <c r="D46" s="187"/>
      <c r="E46" s="188"/>
      <c r="F46" s="188"/>
    </row>
    <row r="47" spans="1:8" ht="15" customHeight="1" x14ac:dyDescent="0.35">
      <c r="A47" s="187"/>
      <c r="B47" s="187"/>
      <c r="C47" s="187"/>
      <c r="D47" s="187"/>
      <c r="E47" s="188"/>
      <c r="F47" s="188"/>
    </row>
  </sheetData>
  <mergeCells count="28">
    <mergeCell ref="D4:E4"/>
    <mergeCell ref="A1:B2"/>
    <mergeCell ref="C1:F1"/>
    <mergeCell ref="C2:F2"/>
    <mergeCell ref="A3:C3"/>
    <mergeCell ref="D3:E3"/>
    <mergeCell ref="A4:C4"/>
    <mergeCell ref="C36:D36"/>
    <mergeCell ref="A5:C5"/>
    <mergeCell ref="D5:E5"/>
    <mergeCell ref="A6:C6"/>
    <mergeCell ref="D6:E6"/>
    <mergeCell ref="A7:F7"/>
    <mergeCell ref="A8:F28"/>
    <mergeCell ref="A29:F30"/>
    <mergeCell ref="C32:D32"/>
    <mergeCell ref="C33:D33"/>
    <mergeCell ref="C34:D34"/>
    <mergeCell ref="C35:D35"/>
    <mergeCell ref="C43:D43"/>
    <mergeCell ref="A44:D47"/>
    <mergeCell ref="E44:F47"/>
    <mergeCell ref="C37:D37"/>
    <mergeCell ref="C38:D38"/>
    <mergeCell ref="C39:D39"/>
    <mergeCell ref="C40:D40"/>
    <mergeCell ref="C41:D41"/>
    <mergeCell ref="C42:D42"/>
  </mergeCells>
  <pageMargins left="0.25" right="0.25" top="0.75" bottom="0.75" header="0.3" footer="0.3"/>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DDBB1-9FA2-4A89-967F-E48ADF0FCC52}">
  <dimension ref="C7:AC71"/>
  <sheetViews>
    <sheetView view="pageBreakPreview" zoomScale="60" zoomScaleNormal="70" workbookViewId="0">
      <selection activeCell="K23" sqref="K23"/>
    </sheetView>
  </sheetViews>
  <sheetFormatPr defaultRowHeight="14.5" x14ac:dyDescent="0.35"/>
  <cols>
    <col min="2" max="2" width="4.36328125" customWidth="1"/>
    <col min="3" max="3" width="11.1796875" bestFit="1" customWidth="1"/>
    <col min="4" max="4" width="7.81640625" customWidth="1"/>
    <col min="6" max="6" width="6" customWidth="1"/>
    <col min="7" max="7" width="11.1796875" customWidth="1"/>
    <col min="8" max="8" width="1.81640625" customWidth="1"/>
    <col min="9" max="10" width="10.1796875" customWidth="1"/>
    <col min="11" max="11" width="11.81640625" customWidth="1"/>
    <col min="12" max="12" width="6.54296875" customWidth="1"/>
    <col min="13" max="13" width="1.81640625" hidden="1" customWidth="1"/>
    <col min="14" max="15" width="9.1796875" customWidth="1"/>
    <col min="16" max="16" width="4.1796875" customWidth="1"/>
    <col min="17" max="17" width="28.453125" customWidth="1"/>
  </cols>
  <sheetData>
    <row r="7" spans="3:29" x14ac:dyDescent="0.35">
      <c r="C7" s="232" t="s">
        <v>135</v>
      </c>
      <c r="D7" s="232"/>
      <c r="E7" s="232"/>
      <c r="F7" s="232"/>
      <c r="G7" s="232"/>
      <c r="H7" s="232"/>
      <c r="I7" s="232"/>
      <c r="J7" s="232"/>
      <c r="K7" s="232"/>
      <c r="L7" s="232"/>
      <c r="M7" s="232"/>
      <c r="N7" s="232"/>
      <c r="O7" s="232"/>
      <c r="P7" s="232"/>
      <c r="Q7" s="232"/>
    </row>
    <row r="8" spans="3:29" ht="20.25" customHeight="1" x14ac:dyDescent="0.35">
      <c r="C8" s="232"/>
      <c r="D8" s="232"/>
      <c r="E8" s="232"/>
      <c r="F8" s="232"/>
      <c r="G8" s="232"/>
      <c r="H8" s="232"/>
      <c r="I8" s="232"/>
      <c r="J8" s="232"/>
      <c r="K8" s="232"/>
      <c r="L8" s="232"/>
      <c r="M8" s="232"/>
      <c r="N8" s="232"/>
      <c r="O8" s="232"/>
      <c r="P8" s="232"/>
      <c r="Q8" s="232"/>
    </row>
    <row r="9" spans="3:29" ht="20.25" customHeight="1" x14ac:dyDescent="0.35">
      <c r="C9" s="232"/>
      <c r="D9" s="232"/>
      <c r="E9" s="232"/>
      <c r="F9" s="232"/>
      <c r="G9" s="232"/>
      <c r="H9" s="232"/>
      <c r="I9" s="232"/>
      <c r="J9" s="232"/>
      <c r="K9" s="232"/>
      <c r="L9" s="232"/>
      <c r="M9" s="232"/>
      <c r="N9" s="232"/>
      <c r="O9" s="232"/>
      <c r="P9" s="232"/>
      <c r="Q9" s="232"/>
    </row>
    <row r="10" spans="3:29" ht="20" x14ac:dyDescent="0.4">
      <c r="C10" s="80"/>
      <c r="D10" s="80"/>
      <c r="E10" s="80"/>
      <c r="F10" s="80"/>
      <c r="G10" s="80"/>
      <c r="H10" s="80"/>
      <c r="I10" s="80"/>
      <c r="J10" s="80"/>
      <c r="K10" s="80"/>
      <c r="L10" s="80"/>
      <c r="M10" s="80"/>
      <c r="N10" s="80"/>
      <c r="O10" s="80"/>
      <c r="P10" s="80"/>
      <c r="Q10" s="80"/>
      <c r="W10" s="80"/>
      <c r="X10" s="80"/>
      <c r="Y10" s="80"/>
      <c r="Z10" s="80"/>
      <c r="AA10" s="80"/>
      <c r="AB10" s="80"/>
      <c r="AC10" s="80"/>
    </row>
    <row r="11" spans="3:29" ht="20" x14ac:dyDescent="0.4">
      <c r="C11" s="80"/>
      <c r="D11" s="80"/>
      <c r="E11" s="80"/>
      <c r="F11" s="80"/>
      <c r="G11" s="80"/>
      <c r="H11" s="80"/>
      <c r="I11" s="80"/>
      <c r="J11" s="80"/>
      <c r="K11" s="80"/>
      <c r="L11" s="80"/>
      <c r="M11" s="80"/>
      <c r="N11" s="80"/>
      <c r="O11" s="80"/>
      <c r="P11" s="80"/>
      <c r="Q11" s="80"/>
      <c r="W11" s="80"/>
      <c r="X11" s="80"/>
      <c r="Y11" s="80"/>
      <c r="Z11" s="80"/>
      <c r="AA11" s="80"/>
      <c r="AB11" s="80"/>
      <c r="AC11" s="80"/>
    </row>
    <row r="12" spans="3:29" ht="20" x14ac:dyDescent="0.4">
      <c r="C12" s="233" t="s">
        <v>131</v>
      </c>
      <c r="D12" s="233"/>
      <c r="E12" s="233"/>
      <c r="F12" s="233"/>
      <c r="G12" s="234" t="str">
        <f>'ORDEM DE SERVIÇO'!B9</f>
        <v>JOSE ANDRE DE SANTANA CRISPIM</v>
      </c>
      <c r="H12" s="234"/>
      <c r="I12" s="234"/>
      <c r="J12" s="234"/>
      <c r="K12" s="234"/>
      <c r="L12" s="234"/>
      <c r="M12" s="231" t="s">
        <v>132</v>
      </c>
      <c r="N12" s="231"/>
      <c r="O12" s="231"/>
      <c r="P12" s="231"/>
      <c r="Q12" s="86">
        <f>'ORDEM DE SERVIÇO'!B40</f>
        <v>3140099</v>
      </c>
      <c r="W12" s="80"/>
      <c r="X12" s="80"/>
      <c r="Y12" s="80"/>
      <c r="Z12" s="80"/>
      <c r="AA12" s="80"/>
      <c r="AB12" s="80"/>
      <c r="AC12" s="80"/>
    </row>
    <row r="13" spans="3:29" ht="20" x14ac:dyDescent="0.4">
      <c r="C13" s="235" t="s">
        <v>246</v>
      </c>
      <c r="D13" s="235"/>
      <c r="E13" s="235"/>
      <c r="F13" s="235"/>
      <c r="G13" s="235"/>
      <c r="H13" s="235"/>
      <c r="I13" s="235"/>
      <c r="J13" s="235"/>
      <c r="K13" s="235"/>
      <c r="L13" s="235"/>
      <c r="M13" s="235"/>
      <c r="N13" s="235"/>
      <c r="O13" s="235"/>
      <c r="P13" s="235"/>
      <c r="Q13" s="235"/>
      <c r="W13" s="80"/>
      <c r="X13" s="80"/>
      <c r="Y13" s="80"/>
      <c r="Z13" s="80"/>
      <c r="AA13" s="80"/>
      <c r="AB13" s="80"/>
      <c r="AC13" s="80"/>
    </row>
    <row r="14" spans="3:29" ht="20" x14ac:dyDescent="0.4">
      <c r="C14" s="233" t="s">
        <v>247</v>
      </c>
      <c r="D14" s="233"/>
      <c r="E14" s="233"/>
      <c r="F14" s="233"/>
      <c r="G14" s="233"/>
      <c r="H14" s="236">
        <f>F22</f>
        <v>46260</v>
      </c>
      <c r="I14" s="231"/>
      <c r="J14" s="231"/>
      <c r="K14" s="231" t="s">
        <v>185</v>
      </c>
      <c r="L14" s="231"/>
      <c r="M14" s="231" t="str">
        <f>'ORDEM DE SERVIÇO'!D9</f>
        <v xml:space="preserve">AJUDANTE  DE OBRAS </v>
      </c>
      <c r="N14" s="231"/>
      <c r="O14" s="231"/>
      <c r="P14" s="231"/>
      <c r="Q14" s="231"/>
      <c r="W14" s="80"/>
      <c r="X14" s="80"/>
      <c r="Y14" s="80"/>
      <c r="Z14" s="80"/>
      <c r="AA14" s="80"/>
      <c r="AB14" s="80"/>
      <c r="AC14" s="80"/>
    </row>
    <row r="15" spans="3:29" ht="20" x14ac:dyDescent="0.4">
      <c r="C15" s="237" t="str">
        <f>'TREINAMENTO DE NR 35'!A29</f>
        <v>PRATICO: CINTO DE SEGURANÇA (SISTEMA DE ANCORAGEM E LINHA DE VIDA) ANDAIMES E MONTAGEM DE ANDAIMES.</v>
      </c>
      <c r="D15" s="237"/>
      <c r="E15" s="237"/>
      <c r="F15" s="237"/>
      <c r="G15" s="237"/>
      <c r="H15" s="237"/>
      <c r="I15" s="237"/>
      <c r="J15" s="237"/>
      <c r="K15" s="237"/>
      <c r="L15" s="237"/>
      <c r="M15" s="237"/>
      <c r="N15" s="237"/>
      <c r="O15" s="237"/>
      <c r="P15" s="237"/>
      <c r="Q15" s="237"/>
      <c r="W15" s="80"/>
      <c r="X15" s="80"/>
      <c r="Y15" s="80"/>
      <c r="Z15" s="80"/>
      <c r="AA15" s="80"/>
      <c r="AB15" s="80"/>
      <c r="AC15" s="80"/>
    </row>
    <row r="16" spans="3:29" ht="20" x14ac:dyDescent="0.4">
      <c r="C16" s="237"/>
      <c r="D16" s="237"/>
      <c r="E16" s="237"/>
      <c r="F16" s="237"/>
      <c r="G16" s="237"/>
      <c r="H16" s="237"/>
      <c r="I16" s="237"/>
      <c r="J16" s="237"/>
      <c r="K16" s="237"/>
      <c r="L16" s="237"/>
      <c r="M16" s="237"/>
      <c r="N16" s="237"/>
      <c r="O16" s="237"/>
      <c r="P16" s="237"/>
      <c r="Q16" s="237"/>
      <c r="W16" s="80"/>
      <c r="X16" s="80"/>
      <c r="Y16" s="80"/>
      <c r="Z16" s="80"/>
      <c r="AA16" s="80"/>
      <c r="AB16" s="80"/>
      <c r="AC16" s="80"/>
    </row>
    <row r="17" spans="3:29" ht="20" x14ac:dyDescent="0.4">
      <c r="C17" s="238" t="s">
        <v>599</v>
      </c>
      <c r="D17" s="238"/>
      <c r="E17" s="238"/>
      <c r="F17" s="238"/>
      <c r="G17" s="238"/>
      <c r="H17" s="238"/>
      <c r="I17" s="238"/>
      <c r="J17" s="238"/>
      <c r="K17" s="238"/>
      <c r="L17" s="238"/>
      <c r="M17" s="238"/>
      <c r="N17" s="238"/>
      <c r="O17" s="238"/>
      <c r="P17" s="238"/>
      <c r="Q17" s="238"/>
      <c r="W17" s="80"/>
      <c r="X17" s="80"/>
      <c r="Y17" s="80"/>
      <c r="Z17" s="80"/>
      <c r="AA17" s="80"/>
      <c r="AB17" s="80"/>
      <c r="AC17" s="80"/>
    </row>
    <row r="18" spans="3:29" ht="20" x14ac:dyDescent="0.4">
      <c r="C18" s="238" t="s">
        <v>600</v>
      </c>
      <c r="D18" s="238"/>
      <c r="E18" s="238"/>
      <c r="F18" s="238"/>
      <c r="G18" s="238"/>
      <c r="H18" s="238"/>
      <c r="I18" s="238"/>
      <c r="J18" s="238"/>
      <c r="K18" s="238"/>
      <c r="L18" s="238"/>
      <c r="M18" s="238"/>
      <c r="N18" s="238"/>
      <c r="O18" s="238"/>
      <c r="P18" s="238"/>
      <c r="Q18" s="238"/>
      <c r="W18" s="80"/>
      <c r="X18" s="80"/>
      <c r="Y18" s="80"/>
      <c r="Z18" s="80"/>
      <c r="AA18" s="80"/>
      <c r="AB18" s="80"/>
      <c r="AC18" s="80"/>
    </row>
    <row r="19" spans="3:29" ht="20" x14ac:dyDescent="0.4">
      <c r="C19" s="233" t="s">
        <v>601</v>
      </c>
      <c r="D19" s="233"/>
      <c r="E19" s="233"/>
      <c r="F19" s="233"/>
      <c r="G19" s="233"/>
      <c r="H19" s="233"/>
      <c r="I19" s="233"/>
      <c r="J19" s="233"/>
      <c r="K19" s="233"/>
      <c r="L19" s="233"/>
      <c r="M19" s="233"/>
      <c r="N19" s="233"/>
      <c r="O19" s="233"/>
      <c r="P19" s="233"/>
      <c r="Q19" s="233"/>
      <c r="W19" s="80"/>
      <c r="X19" s="80"/>
      <c r="Y19" s="80"/>
      <c r="Z19" s="80"/>
      <c r="AA19" s="80"/>
      <c r="AB19" s="80"/>
      <c r="AC19" s="80"/>
    </row>
    <row r="20" spans="3:29" ht="15" customHeight="1" x14ac:dyDescent="0.4">
      <c r="W20" s="80"/>
      <c r="X20" s="80"/>
      <c r="Y20" s="80"/>
      <c r="Z20" s="80"/>
      <c r="AA20" s="80"/>
      <c r="AB20" s="80"/>
      <c r="AC20" s="80"/>
    </row>
    <row r="21" spans="3:29" ht="20" x14ac:dyDescent="0.4">
      <c r="C21" s="80"/>
      <c r="D21" s="80"/>
      <c r="E21" s="80"/>
      <c r="F21" s="80"/>
      <c r="G21" s="80"/>
      <c r="H21" s="80"/>
      <c r="I21" s="80"/>
      <c r="J21" s="80"/>
      <c r="K21" s="80"/>
      <c r="L21" s="80"/>
      <c r="M21" s="80"/>
      <c r="N21" s="80"/>
      <c r="O21" s="80"/>
      <c r="P21" s="80"/>
      <c r="Q21" s="80"/>
      <c r="W21" s="80"/>
      <c r="X21" s="80"/>
      <c r="Y21" s="80"/>
      <c r="Z21" s="80"/>
      <c r="AA21" s="80"/>
      <c r="AB21" s="80"/>
      <c r="AC21" s="80"/>
    </row>
    <row r="22" spans="3:29" ht="20" x14ac:dyDescent="0.4">
      <c r="C22" s="239" t="s">
        <v>598</v>
      </c>
      <c r="D22" s="239"/>
      <c r="E22" s="239"/>
      <c r="F22" s="240">
        <f>'TREINAMENTO DE NR 35'!F4</f>
        <v>46260</v>
      </c>
      <c r="G22" s="240"/>
      <c r="H22" s="240"/>
      <c r="I22" s="240"/>
      <c r="J22" s="80"/>
      <c r="K22" s="80"/>
      <c r="L22" s="80"/>
      <c r="M22" s="80"/>
      <c r="N22" s="80"/>
      <c r="O22" s="80"/>
      <c r="P22" s="80"/>
      <c r="Q22" s="80"/>
      <c r="W22" s="80"/>
      <c r="X22" s="80"/>
      <c r="Y22" s="80"/>
      <c r="Z22" s="80"/>
      <c r="AA22" s="80"/>
      <c r="AB22" s="80"/>
      <c r="AC22" s="80"/>
    </row>
    <row r="23" spans="3:29" ht="20" x14ac:dyDescent="0.4">
      <c r="C23" s="80"/>
      <c r="D23" s="80"/>
      <c r="E23" s="80"/>
      <c r="F23" s="80"/>
      <c r="G23" s="80"/>
      <c r="H23" s="80"/>
      <c r="I23" s="80"/>
      <c r="J23" s="80"/>
      <c r="K23" s="80"/>
      <c r="L23" s="80"/>
      <c r="M23" s="80"/>
      <c r="N23" s="80"/>
      <c r="O23" s="80"/>
      <c r="P23" s="80"/>
      <c r="Q23" s="80"/>
      <c r="W23" s="80"/>
      <c r="X23" s="80"/>
      <c r="Y23" s="80"/>
      <c r="Z23" s="80"/>
      <c r="AA23" s="80"/>
      <c r="AB23" s="80"/>
      <c r="AC23" s="80"/>
    </row>
    <row r="24" spans="3:29" ht="20" x14ac:dyDescent="0.4">
      <c r="C24" s="80"/>
      <c r="D24" s="80"/>
      <c r="E24" s="80"/>
      <c r="F24" s="80"/>
      <c r="G24" s="80"/>
      <c r="H24" s="80"/>
      <c r="I24" s="80"/>
      <c r="J24" s="80"/>
      <c r="K24" s="80"/>
      <c r="L24" s="80"/>
      <c r="M24" s="80"/>
      <c r="N24" s="80"/>
      <c r="O24" s="80"/>
      <c r="P24" s="80"/>
      <c r="Q24" s="80"/>
    </row>
    <row r="25" spans="3:29" ht="20" x14ac:dyDescent="0.4">
      <c r="C25" s="80"/>
      <c r="D25" s="80"/>
      <c r="E25" s="80"/>
      <c r="F25" s="80"/>
      <c r="G25" s="80"/>
      <c r="H25" s="80"/>
      <c r="I25" s="80"/>
      <c r="J25" s="80"/>
      <c r="K25" s="80"/>
      <c r="L25" s="80"/>
      <c r="M25" s="80"/>
      <c r="N25" s="80"/>
      <c r="O25" s="80"/>
      <c r="P25" s="80"/>
      <c r="Q25" s="80"/>
    </row>
    <row r="26" spans="3:29" x14ac:dyDescent="0.35">
      <c r="C26" s="227" t="s">
        <v>452</v>
      </c>
      <c r="D26" s="227"/>
      <c r="E26" s="227"/>
      <c r="F26" s="227"/>
      <c r="G26" s="227"/>
      <c r="H26" s="82"/>
      <c r="I26" s="227"/>
      <c r="J26" s="227"/>
      <c r="K26" s="227"/>
      <c r="L26" s="227"/>
      <c r="M26" s="227"/>
      <c r="N26" s="227" t="str">
        <f>'ORDEM DE SERVIÇO'!B39</f>
        <v>JOSE ANDRE DE SANTANA CRISPIM</v>
      </c>
      <c r="O26" s="227"/>
      <c r="P26" s="227"/>
      <c r="Q26" s="227"/>
    </row>
    <row r="27" spans="3:29" x14ac:dyDescent="0.35">
      <c r="C27" s="228" t="s">
        <v>206</v>
      </c>
      <c r="D27" s="228"/>
      <c r="E27" s="228"/>
      <c r="F27" s="228"/>
      <c r="G27" s="228"/>
      <c r="H27" s="82"/>
      <c r="I27" s="228"/>
      <c r="J27" s="228"/>
      <c r="K27" s="228"/>
      <c r="L27" s="228"/>
      <c r="M27" s="228"/>
      <c r="N27" s="228" t="str">
        <f>'ORDEM DE SERVIÇO'!B41</f>
        <v xml:space="preserve">AJUDANTE  DE OBRAS </v>
      </c>
      <c r="O27" s="228"/>
      <c r="P27" s="228"/>
      <c r="Q27" s="228"/>
    </row>
    <row r="28" spans="3:29" x14ac:dyDescent="0.35">
      <c r="C28" s="228" t="s">
        <v>514</v>
      </c>
      <c r="D28" s="228"/>
      <c r="E28" s="228"/>
      <c r="F28" s="228"/>
      <c r="G28" s="228"/>
      <c r="H28" s="82"/>
      <c r="I28" s="228"/>
      <c r="J28" s="228"/>
      <c r="K28" s="228"/>
      <c r="L28" s="228"/>
      <c r="M28" s="228"/>
      <c r="N28" s="228"/>
      <c r="O28" s="228"/>
      <c r="P28" s="228"/>
      <c r="Q28" s="228"/>
    </row>
    <row r="29" spans="3:29" ht="15.5" x14ac:dyDescent="0.35">
      <c r="C29" s="230" t="s">
        <v>248</v>
      </c>
      <c r="D29" s="230"/>
      <c r="E29" s="230"/>
      <c r="F29" s="230"/>
      <c r="G29" s="230"/>
      <c r="H29" s="83"/>
      <c r="I29" s="228"/>
      <c r="J29" s="228"/>
      <c r="K29" s="228"/>
      <c r="L29" s="228"/>
      <c r="M29" s="79"/>
      <c r="N29" s="79"/>
      <c r="O29" s="222"/>
      <c r="P29" s="222"/>
      <c r="Q29" s="222"/>
    </row>
    <row r="30" spans="3:29" ht="15.5" x14ac:dyDescent="0.35">
      <c r="C30" s="79"/>
      <c r="D30" s="79"/>
      <c r="E30" s="79"/>
      <c r="F30" s="79"/>
      <c r="G30" s="79"/>
      <c r="H30" s="79"/>
      <c r="I30" s="79"/>
      <c r="J30" s="79"/>
      <c r="K30" s="79"/>
      <c r="L30" s="79"/>
      <c r="M30" s="79"/>
      <c r="N30" s="79"/>
      <c r="O30" s="222" t="s">
        <v>598</v>
      </c>
      <c r="P30" s="222"/>
      <c r="Q30" s="222"/>
    </row>
    <row r="31" spans="3:29" ht="15.5" x14ac:dyDescent="0.35">
      <c r="C31" s="79"/>
      <c r="D31" s="79"/>
      <c r="E31" s="79"/>
      <c r="F31" s="79"/>
      <c r="G31" s="79"/>
      <c r="H31" s="79"/>
      <c r="I31" s="79"/>
      <c r="J31" s="79"/>
      <c r="K31" s="79"/>
      <c r="L31" s="79"/>
      <c r="M31" s="79"/>
      <c r="N31" s="79"/>
      <c r="O31" s="222"/>
      <c r="P31" s="222"/>
      <c r="Q31" s="222"/>
    </row>
    <row r="40" spans="3:19" ht="15" customHeight="1" x14ac:dyDescent="0.35">
      <c r="C40" s="223" t="s">
        <v>207</v>
      </c>
      <c r="D40" s="223"/>
      <c r="E40" s="223"/>
      <c r="F40" s="223"/>
      <c r="G40" s="223"/>
      <c r="H40" s="223"/>
      <c r="I40" s="223"/>
      <c r="J40" s="223"/>
      <c r="K40" s="223"/>
      <c r="L40" s="223"/>
      <c r="M40" s="223"/>
      <c r="N40" s="223"/>
      <c r="O40" s="223"/>
      <c r="P40" s="223"/>
      <c r="Q40" s="223"/>
      <c r="R40" s="81"/>
      <c r="S40" s="81"/>
    </row>
    <row r="41" spans="3:19" ht="15" customHeight="1" x14ac:dyDescent="0.35">
      <c r="C41" s="223"/>
      <c r="D41" s="223"/>
      <c r="E41" s="223"/>
      <c r="F41" s="223"/>
      <c r="G41" s="223"/>
      <c r="H41" s="223"/>
      <c r="I41" s="223"/>
      <c r="J41" s="223"/>
      <c r="K41" s="223"/>
      <c r="L41" s="223"/>
      <c r="M41" s="223"/>
      <c r="N41" s="223"/>
      <c r="O41" s="223"/>
      <c r="P41" s="223"/>
      <c r="Q41" s="223"/>
      <c r="R41" s="81"/>
      <c r="S41" s="81"/>
    </row>
    <row r="42" spans="3:19" ht="15" customHeight="1" x14ac:dyDescent="0.35">
      <c r="C42" s="223"/>
      <c r="D42" s="223"/>
      <c r="E42" s="223"/>
      <c r="F42" s="223"/>
      <c r="G42" s="223"/>
      <c r="H42" s="223"/>
      <c r="I42" s="223"/>
      <c r="J42" s="223"/>
      <c r="K42" s="223"/>
      <c r="L42" s="223"/>
      <c r="M42" s="223"/>
      <c r="N42" s="223"/>
      <c r="O42" s="223"/>
      <c r="P42" s="223"/>
      <c r="Q42" s="223"/>
      <c r="R42" s="81"/>
      <c r="S42" s="81"/>
    </row>
    <row r="46" spans="3:19" ht="15" customHeight="1" x14ac:dyDescent="0.35">
      <c r="C46" s="225" t="s">
        <v>249</v>
      </c>
      <c r="D46" s="225"/>
      <c r="E46" s="225"/>
      <c r="F46" s="225"/>
      <c r="G46" s="225"/>
      <c r="H46" s="225"/>
      <c r="I46" s="225"/>
      <c r="J46" s="225"/>
      <c r="K46" s="225"/>
      <c r="L46" s="225"/>
      <c r="M46" s="225"/>
      <c r="N46" s="225"/>
      <c r="O46" s="225"/>
      <c r="P46" s="225"/>
      <c r="Q46" s="225"/>
      <c r="R46" s="116"/>
      <c r="S46" s="83"/>
    </row>
    <row r="47" spans="3:19" ht="15" customHeight="1" x14ac:dyDescent="0.35">
      <c r="C47" s="225"/>
      <c r="D47" s="225"/>
      <c r="E47" s="225"/>
      <c r="F47" s="225"/>
      <c r="G47" s="225"/>
      <c r="H47" s="225"/>
      <c r="I47" s="225"/>
      <c r="J47" s="225"/>
      <c r="K47" s="225"/>
      <c r="L47" s="225"/>
      <c r="M47" s="225"/>
      <c r="N47" s="225"/>
      <c r="O47" s="225"/>
      <c r="P47" s="225"/>
      <c r="Q47" s="225"/>
      <c r="R47" s="108"/>
      <c r="S47" s="83"/>
    </row>
    <row r="48" spans="3:19" ht="15" customHeight="1" x14ac:dyDescent="0.35">
      <c r="C48" s="225"/>
      <c r="D48" s="225"/>
      <c r="E48" s="225"/>
      <c r="F48" s="225"/>
      <c r="G48" s="225"/>
      <c r="H48" s="225"/>
      <c r="I48" s="225"/>
      <c r="J48" s="225"/>
      <c r="K48" s="225"/>
      <c r="L48" s="225"/>
      <c r="M48" s="225"/>
      <c r="N48" s="225"/>
      <c r="O48" s="225"/>
      <c r="P48" s="225"/>
      <c r="Q48" s="225"/>
      <c r="R48" s="108"/>
      <c r="S48" s="83"/>
    </row>
    <row r="49" spans="3:19" ht="15" customHeight="1" x14ac:dyDescent="0.35">
      <c r="C49" s="225"/>
      <c r="D49" s="225"/>
      <c r="E49" s="225"/>
      <c r="F49" s="225"/>
      <c r="G49" s="225"/>
      <c r="H49" s="225"/>
      <c r="I49" s="225"/>
      <c r="J49" s="225"/>
      <c r="K49" s="225"/>
      <c r="L49" s="225"/>
      <c r="M49" s="225"/>
      <c r="N49" s="225"/>
      <c r="O49" s="225"/>
      <c r="P49" s="225"/>
      <c r="Q49" s="225"/>
      <c r="R49" s="108"/>
      <c r="S49" s="83"/>
    </row>
    <row r="50" spans="3:19" ht="15" customHeight="1" x14ac:dyDescent="0.35">
      <c r="C50" s="225"/>
      <c r="D50" s="225"/>
      <c r="E50" s="225"/>
      <c r="F50" s="225"/>
      <c r="G50" s="225"/>
      <c r="H50" s="225"/>
      <c r="I50" s="225"/>
      <c r="J50" s="225"/>
      <c r="K50" s="225"/>
      <c r="L50" s="225"/>
      <c r="M50" s="225"/>
      <c r="N50" s="225"/>
      <c r="O50" s="225"/>
      <c r="P50" s="225"/>
      <c r="Q50" s="225"/>
      <c r="R50" s="108"/>
      <c r="S50" s="83"/>
    </row>
    <row r="51" spans="3:19" ht="15" customHeight="1" x14ac:dyDescent="0.35">
      <c r="C51" s="225"/>
      <c r="D51" s="225"/>
      <c r="E51" s="225"/>
      <c r="F51" s="225"/>
      <c r="G51" s="225"/>
      <c r="H51" s="225"/>
      <c r="I51" s="225"/>
      <c r="J51" s="225"/>
      <c r="K51" s="225"/>
      <c r="L51" s="225"/>
      <c r="M51" s="225"/>
      <c r="N51" s="225"/>
      <c r="O51" s="225"/>
      <c r="P51" s="225"/>
      <c r="Q51" s="225"/>
      <c r="R51" s="108"/>
      <c r="S51" s="83"/>
    </row>
    <row r="52" spans="3:19" ht="15" customHeight="1" x14ac:dyDescent="0.35">
      <c r="C52" s="225"/>
      <c r="D52" s="225"/>
      <c r="E52" s="225"/>
      <c r="F52" s="225"/>
      <c r="G52" s="225"/>
      <c r="H52" s="225"/>
      <c r="I52" s="225"/>
      <c r="J52" s="225"/>
      <c r="K52" s="225"/>
      <c r="L52" s="225"/>
      <c r="M52" s="225"/>
      <c r="N52" s="225"/>
      <c r="O52" s="225"/>
      <c r="P52" s="225"/>
      <c r="Q52" s="225"/>
      <c r="R52" s="108"/>
      <c r="S52" s="83"/>
    </row>
    <row r="53" spans="3:19" ht="15" customHeight="1" x14ac:dyDescent="0.35">
      <c r="C53" s="225"/>
      <c r="D53" s="225"/>
      <c r="E53" s="225"/>
      <c r="F53" s="225"/>
      <c r="G53" s="225"/>
      <c r="H53" s="225"/>
      <c r="I53" s="225"/>
      <c r="J53" s="225"/>
      <c r="K53" s="225"/>
      <c r="L53" s="225"/>
      <c r="M53" s="225"/>
      <c r="N53" s="225"/>
      <c r="O53" s="225"/>
      <c r="P53" s="225"/>
      <c r="Q53" s="225"/>
      <c r="R53" s="108"/>
      <c r="S53" s="83"/>
    </row>
    <row r="54" spans="3:19" ht="15" customHeight="1" x14ac:dyDescent="0.35">
      <c r="C54" s="225"/>
      <c r="D54" s="225"/>
      <c r="E54" s="225"/>
      <c r="F54" s="225"/>
      <c r="G54" s="225"/>
      <c r="H54" s="225"/>
      <c r="I54" s="225"/>
      <c r="J54" s="225"/>
      <c r="K54" s="225"/>
      <c r="L54" s="225"/>
      <c r="M54" s="225"/>
      <c r="N54" s="225"/>
      <c r="O54" s="225"/>
      <c r="P54" s="225"/>
      <c r="Q54" s="225"/>
      <c r="R54" s="108"/>
      <c r="S54" s="83"/>
    </row>
    <row r="55" spans="3:19" ht="15" customHeight="1" x14ac:dyDescent="0.35">
      <c r="C55" s="225"/>
      <c r="D55" s="225"/>
      <c r="E55" s="225"/>
      <c r="F55" s="225"/>
      <c r="G55" s="225"/>
      <c r="H55" s="225"/>
      <c r="I55" s="225"/>
      <c r="J55" s="225"/>
      <c r="K55" s="225"/>
      <c r="L55" s="225"/>
      <c r="M55" s="225"/>
      <c r="N55" s="225"/>
      <c r="O55" s="225"/>
      <c r="P55" s="225"/>
      <c r="Q55" s="225"/>
      <c r="R55" s="108"/>
      <c r="S55" s="83"/>
    </row>
    <row r="56" spans="3:19" ht="15" customHeight="1" x14ac:dyDescent="0.35">
      <c r="C56" s="225"/>
      <c r="D56" s="225"/>
      <c r="E56" s="225"/>
      <c r="F56" s="225"/>
      <c r="G56" s="225"/>
      <c r="H56" s="225"/>
      <c r="I56" s="225"/>
      <c r="J56" s="225"/>
      <c r="K56" s="225"/>
      <c r="L56" s="225"/>
      <c r="M56" s="225"/>
      <c r="N56" s="225"/>
      <c r="O56" s="225"/>
      <c r="P56" s="225"/>
      <c r="Q56" s="225"/>
      <c r="R56" s="108"/>
      <c r="S56" s="83"/>
    </row>
    <row r="57" spans="3:19" ht="15" customHeight="1" x14ac:dyDescent="0.35">
      <c r="C57" s="225"/>
      <c r="D57" s="225"/>
      <c r="E57" s="225"/>
      <c r="F57" s="225"/>
      <c r="G57" s="225"/>
      <c r="H57" s="225"/>
      <c r="I57" s="225"/>
      <c r="J57" s="225"/>
      <c r="K57" s="225"/>
      <c r="L57" s="225"/>
      <c r="M57" s="225"/>
      <c r="N57" s="225"/>
      <c r="O57" s="225"/>
      <c r="P57" s="225"/>
      <c r="Q57" s="225"/>
      <c r="R57" s="116"/>
      <c r="S57" s="83"/>
    </row>
    <row r="58" spans="3:19" ht="15" customHeight="1" x14ac:dyDescent="0.35">
      <c r="C58" s="225"/>
      <c r="D58" s="225"/>
      <c r="E58" s="225"/>
      <c r="F58" s="225"/>
      <c r="G58" s="225"/>
      <c r="H58" s="225"/>
      <c r="I58" s="225"/>
      <c r="J58" s="225"/>
      <c r="K58" s="225"/>
      <c r="L58" s="225"/>
      <c r="M58" s="225"/>
      <c r="N58" s="225"/>
      <c r="O58" s="225"/>
      <c r="P58" s="225"/>
      <c r="Q58" s="225"/>
      <c r="R58" s="108"/>
      <c r="S58" s="83"/>
    </row>
    <row r="59" spans="3:19" ht="15" customHeight="1" x14ac:dyDescent="0.35">
      <c r="C59" s="225"/>
      <c r="D59" s="225"/>
      <c r="E59" s="225"/>
      <c r="F59" s="225"/>
      <c r="G59" s="225"/>
      <c r="H59" s="225"/>
      <c r="I59" s="225"/>
      <c r="J59" s="225"/>
      <c r="K59" s="225"/>
      <c r="L59" s="225"/>
      <c r="M59" s="225"/>
      <c r="N59" s="225"/>
      <c r="O59" s="225"/>
      <c r="P59" s="225"/>
      <c r="Q59" s="225"/>
      <c r="R59" s="108"/>
      <c r="S59" s="83"/>
    </row>
    <row r="60" spans="3:19" ht="4" customHeight="1" x14ac:dyDescent="0.35">
      <c r="C60" s="225"/>
      <c r="D60" s="225"/>
      <c r="E60" s="225"/>
      <c r="F60" s="225"/>
      <c r="G60" s="225"/>
      <c r="H60" s="225"/>
      <c r="I60" s="225"/>
      <c r="J60" s="225"/>
      <c r="K60" s="225"/>
      <c r="L60" s="225"/>
      <c r="M60" s="225"/>
      <c r="N60" s="225"/>
      <c r="O60" s="225"/>
      <c r="P60" s="225"/>
      <c r="Q60" s="225"/>
      <c r="R60" s="108"/>
      <c r="S60" s="83"/>
    </row>
    <row r="61" spans="3:19" ht="10" hidden="1" customHeight="1" x14ac:dyDescent="0.35">
      <c r="C61" s="225"/>
      <c r="D61" s="225"/>
      <c r="E61" s="225"/>
      <c r="F61" s="225"/>
      <c r="G61" s="225"/>
      <c r="H61" s="225"/>
      <c r="I61" s="225"/>
      <c r="J61" s="225"/>
      <c r="K61" s="225"/>
      <c r="L61" s="225"/>
      <c r="M61" s="225"/>
      <c r="N61" s="225"/>
      <c r="O61" s="225"/>
      <c r="P61" s="225"/>
      <c r="Q61" s="225"/>
      <c r="R61" s="108"/>
      <c r="S61" s="83"/>
    </row>
    <row r="62" spans="3:19" ht="15" hidden="1" customHeight="1" x14ac:dyDescent="0.35">
      <c r="C62" s="225"/>
      <c r="D62" s="225"/>
      <c r="E62" s="225"/>
      <c r="F62" s="225"/>
      <c r="G62" s="225"/>
      <c r="H62" s="225"/>
      <c r="I62" s="225"/>
      <c r="J62" s="225"/>
      <c r="K62" s="225"/>
      <c r="L62" s="225"/>
      <c r="M62" s="225"/>
      <c r="N62" s="225"/>
      <c r="O62" s="225"/>
      <c r="P62" s="225"/>
      <c r="Q62" s="225"/>
      <c r="R62" s="108"/>
      <c r="S62" s="83"/>
    </row>
    <row r="63" spans="3:19" ht="15" hidden="1" customHeight="1" x14ac:dyDescent="0.35">
      <c r="C63" s="225"/>
      <c r="D63" s="225"/>
      <c r="E63" s="225"/>
      <c r="F63" s="225"/>
      <c r="G63" s="225"/>
      <c r="H63" s="225"/>
      <c r="I63" s="225"/>
      <c r="J63" s="225"/>
      <c r="K63" s="225"/>
      <c r="L63" s="225"/>
      <c r="M63" s="225"/>
      <c r="N63" s="225"/>
      <c r="O63" s="225"/>
      <c r="P63" s="225"/>
      <c r="Q63" s="225"/>
      <c r="R63" s="108"/>
      <c r="S63" s="83"/>
    </row>
    <row r="64" spans="3:19" ht="15" customHeight="1" x14ac:dyDescent="0.35">
      <c r="C64" s="226" t="str">
        <f>'TREINAMENTO DE NR 35'!A29</f>
        <v>PRATICO: CINTO DE SEGURANÇA (SISTEMA DE ANCORAGEM E LINHA DE VIDA) ANDAIMES E MONTAGEM DE ANDAIMES.</v>
      </c>
      <c r="D64" s="226"/>
      <c r="E64" s="226"/>
      <c r="F64" s="226"/>
      <c r="G64" s="226"/>
      <c r="H64" s="226"/>
      <c r="I64" s="226"/>
      <c r="J64" s="226"/>
      <c r="K64" s="226"/>
      <c r="L64" s="226"/>
      <c r="M64" s="226"/>
      <c r="N64" s="226"/>
      <c r="O64" s="226"/>
      <c r="P64" s="226"/>
      <c r="Q64" s="226"/>
      <c r="R64" s="108"/>
      <c r="S64" s="83"/>
    </row>
    <row r="65" spans="3:19" ht="15" customHeight="1" x14ac:dyDescent="0.35">
      <c r="C65" s="226"/>
      <c r="D65" s="226"/>
      <c r="E65" s="226"/>
      <c r="F65" s="226"/>
      <c r="G65" s="226"/>
      <c r="H65" s="226"/>
      <c r="I65" s="226"/>
      <c r="J65" s="226"/>
      <c r="K65" s="226"/>
      <c r="L65" s="226"/>
      <c r="M65" s="226"/>
      <c r="N65" s="226"/>
      <c r="O65" s="226"/>
      <c r="P65" s="226"/>
      <c r="Q65" s="226"/>
      <c r="R65" s="108"/>
      <c r="S65" s="83"/>
    </row>
    <row r="66" spans="3:19" ht="15" customHeight="1" x14ac:dyDescent="0.35">
      <c r="C66" s="226"/>
      <c r="D66" s="226"/>
      <c r="E66" s="226"/>
      <c r="F66" s="226"/>
      <c r="G66" s="226"/>
      <c r="H66" s="226"/>
      <c r="I66" s="226"/>
      <c r="J66" s="226"/>
      <c r="K66" s="226"/>
      <c r="L66" s="226"/>
      <c r="M66" s="226"/>
      <c r="N66" s="226"/>
      <c r="O66" s="226"/>
      <c r="P66" s="226"/>
      <c r="Q66" s="226"/>
      <c r="R66" s="108"/>
      <c r="S66" s="83"/>
    </row>
    <row r="67" spans="3:19" ht="15" customHeight="1" x14ac:dyDescent="0.35">
      <c r="C67" s="226"/>
      <c r="D67" s="226"/>
      <c r="E67" s="226"/>
      <c r="F67" s="226"/>
      <c r="G67" s="226"/>
      <c r="H67" s="226"/>
      <c r="I67" s="226"/>
      <c r="J67" s="226"/>
      <c r="K67" s="226"/>
      <c r="L67" s="226"/>
      <c r="M67" s="226"/>
      <c r="N67" s="226"/>
      <c r="O67" s="226"/>
      <c r="P67" s="226"/>
      <c r="Q67" s="226"/>
      <c r="R67" s="113"/>
    </row>
    <row r="68" spans="3:19" x14ac:dyDescent="0.35">
      <c r="C68" s="227" t="s">
        <v>452</v>
      </c>
      <c r="D68" s="227"/>
      <c r="E68" s="227"/>
      <c r="F68" s="227"/>
      <c r="G68" s="227"/>
      <c r="H68" s="77"/>
      <c r="I68" s="227" t="str">
        <f>'ORDEM DE SERVIÇO'!B39</f>
        <v>JOSE ANDRE DE SANTANA CRISPIM</v>
      </c>
      <c r="J68" s="227"/>
      <c r="K68" s="227"/>
      <c r="L68" s="227"/>
      <c r="M68" s="77"/>
      <c r="N68" s="229" t="s">
        <v>597</v>
      </c>
      <c r="O68" s="229"/>
      <c r="P68" s="229"/>
      <c r="Q68" s="229"/>
      <c r="R68" s="77"/>
    </row>
    <row r="69" spans="3:19" x14ac:dyDescent="0.35">
      <c r="C69" s="228" t="s">
        <v>206</v>
      </c>
      <c r="D69" s="228"/>
      <c r="E69" s="228"/>
      <c r="F69" s="228"/>
      <c r="G69" s="228"/>
      <c r="H69" s="77"/>
      <c r="I69" s="228" t="str">
        <f>'ORDEM DE SERVIÇO'!B41</f>
        <v xml:space="preserve">AJUDANTE  DE OBRAS </v>
      </c>
      <c r="J69" s="228"/>
      <c r="K69" s="228"/>
      <c r="L69" s="228"/>
      <c r="M69" s="77"/>
      <c r="N69" s="77"/>
      <c r="O69" s="224" t="s">
        <v>598</v>
      </c>
      <c r="P69" s="224"/>
      <c r="Q69" s="224"/>
      <c r="R69" s="77"/>
    </row>
    <row r="70" spans="3:19" ht="15.5" x14ac:dyDescent="0.35">
      <c r="C70" s="228" t="s">
        <v>453</v>
      </c>
      <c r="D70" s="228"/>
      <c r="E70" s="228"/>
      <c r="F70" s="228"/>
      <c r="G70" s="228"/>
      <c r="H70" s="77"/>
      <c r="I70" s="77"/>
      <c r="J70" s="77"/>
      <c r="K70" s="77"/>
      <c r="L70" s="77"/>
      <c r="M70" s="77"/>
      <c r="N70" s="77"/>
      <c r="O70" s="105"/>
      <c r="P70" s="105"/>
      <c r="Q70" s="105"/>
      <c r="R70" s="77"/>
    </row>
    <row r="71" spans="3:19" x14ac:dyDescent="0.35">
      <c r="C71" s="230" t="s">
        <v>248</v>
      </c>
      <c r="D71" s="230"/>
      <c r="E71" s="230"/>
      <c r="F71" s="230"/>
      <c r="G71" s="230"/>
    </row>
  </sheetData>
  <mergeCells count="40">
    <mergeCell ref="C70:G70"/>
    <mergeCell ref="C71:G71"/>
    <mergeCell ref="C14:G14"/>
    <mergeCell ref="H14:J14"/>
    <mergeCell ref="K14:L14"/>
    <mergeCell ref="C15:Q16"/>
    <mergeCell ref="C17:Q17"/>
    <mergeCell ref="C18:Q18"/>
    <mergeCell ref="C19:Q19"/>
    <mergeCell ref="C22:E22"/>
    <mergeCell ref="F22:I22"/>
    <mergeCell ref="C26:G26"/>
    <mergeCell ref="N26:Q26"/>
    <mergeCell ref="C27:G27"/>
    <mergeCell ref="N27:Q27"/>
    <mergeCell ref="I26:M26"/>
    <mergeCell ref="M14:Q14"/>
    <mergeCell ref="C7:Q9"/>
    <mergeCell ref="C12:F12"/>
    <mergeCell ref="G12:L12"/>
    <mergeCell ref="M12:P12"/>
    <mergeCell ref="C13:Q13"/>
    <mergeCell ref="I27:M27"/>
    <mergeCell ref="C28:G28"/>
    <mergeCell ref="N28:Q28"/>
    <mergeCell ref="C29:G29"/>
    <mergeCell ref="I29:L29"/>
    <mergeCell ref="O29:Q29"/>
    <mergeCell ref="I28:M28"/>
    <mergeCell ref="O30:Q30"/>
    <mergeCell ref="O31:Q31"/>
    <mergeCell ref="C40:Q42"/>
    <mergeCell ref="O69:Q69"/>
    <mergeCell ref="C46:Q63"/>
    <mergeCell ref="C64:Q67"/>
    <mergeCell ref="I68:L68"/>
    <mergeCell ref="I69:L69"/>
    <mergeCell ref="C68:G68"/>
    <mergeCell ref="C69:G69"/>
    <mergeCell ref="N68:Q68"/>
  </mergeCells>
  <pageMargins left="0.23622047244094491" right="0.23622047244094491" top="0.35433070866141736" bottom="0.35433070866141736" header="0.31496062992125984" footer="0.31496062992125984"/>
  <pageSetup paperSize="9" scale="96" orientation="landscape" horizontalDpi="360" verticalDpi="360" r:id="rId1"/>
  <rowBreaks count="1" manualBreakCount="1">
    <brk id="32" max="1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B6F09-912C-44C6-90CB-6F4A9EF17CE0}">
  <dimension ref="A1:G41"/>
  <sheetViews>
    <sheetView topLeftCell="A5" zoomScaleNormal="100" workbookViewId="0">
      <selection activeCell="J9" sqref="J9"/>
    </sheetView>
  </sheetViews>
  <sheetFormatPr defaultRowHeight="14.5" x14ac:dyDescent="0.35"/>
  <cols>
    <col min="1" max="1" width="5.453125" customWidth="1"/>
    <col min="2" max="2" width="10.1796875" customWidth="1"/>
    <col min="3" max="3" width="16.6328125" customWidth="1"/>
    <col min="4" max="4" width="19.81640625" customWidth="1"/>
    <col min="5" max="5" width="25.1796875" customWidth="1"/>
    <col min="6" max="6" width="25.81640625" bestFit="1" customWidth="1"/>
  </cols>
  <sheetData>
    <row r="1" spans="1:7" ht="15" customHeight="1" x14ac:dyDescent="0.35">
      <c r="A1" s="212"/>
      <c r="B1" s="213"/>
      <c r="C1" s="216" t="s">
        <v>155</v>
      </c>
      <c r="D1" s="217"/>
      <c r="E1" s="217"/>
      <c r="F1" s="218"/>
    </row>
    <row r="2" spans="1:7" ht="33.75" customHeight="1" x14ac:dyDescent="0.35">
      <c r="A2" s="214"/>
      <c r="B2" s="215"/>
      <c r="C2" s="219" t="s">
        <v>508</v>
      </c>
      <c r="D2" s="220"/>
      <c r="E2" s="220"/>
      <c r="F2" s="221"/>
    </row>
    <row r="3" spans="1:7" x14ac:dyDescent="0.35">
      <c r="A3" s="189" t="s">
        <v>164</v>
      </c>
      <c r="B3" s="190"/>
      <c r="C3" s="191"/>
      <c r="D3" s="189"/>
      <c r="E3" s="191"/>
      <c r="F3" s="101" t="s">
        <v>162</v>
      </c>
    </row>
    <row r="4" spans="1:7" x14ac:dyDescent="0.35">
      <c r="A4" s="192" t="s">
        <v>602</v>
      </c>
      <c r="B4" s="193"/>
      <c r="C4" s="194"/>
      <c r="D4" s="249" t="s">
        <v>601</v>
      </c>
      <c r="E4" s="250"/>
      <c r="F4" s="75">
        <v>45757</v>
      </c>
    </row>
    <row r="5" spans="1:7" x14ac:dyDescent="0.35">
      <c r="A5" s="189" t="s">
        <v>158</v>
      </c>
      <c r="B5" s="190"/>
      <c r="C5" s="191"/>
      <c r="D5" s="189" t="s">
        <v>159</v>
      </c>
      <c r="E5" s="191"/>
      <c r="F5" s="101" t="s">
        <v>156</v>
      </c>
      <c r="G5" s="103"/>
    </row>
    <row r="6" spans="1:7" x14ac:dyDescent="0.35">
      <c r="A6" s="251" t="s">
        <v>452</v>
      </c>
      <c r="B6" s="252"/>
      <c r="C6" s="253"/>
      <c r="D6" s="251" t="s">
        <v>616</v>
      </c>
      <c r="E6" s="253"/>
      <c r="F6" s="104" t="s">
        <v>157</v>
      </c>
    </row>
    <row r="7" spans="1:7" x14ac:dyDescent="0.35">
      <c r="A7" s="195" t="s">
        <v>160</v>
      </c>
      <c r="B7" s="195"/>
      <c r="C7" s="195"/>
      <c r="D7" s="195"/>
      <c r="E7" s="195"/>
      <c r="F7" s="195"/>
    </row>
    <row r="8" spans="1:7" ht="15.5" x14ac:dyDescent="0.35">
      <c r="A8" s="246" t="s">
        <v>167</v>
      </c>
      <c r="B8" s="247"/>
      <c r="C8" s="247"/>
      <c r="D8" s="247"/>
      <c r="E8" s="247"/>
      <c r="F8" s="248"/>
    </row>
    <row r="9" spans="1:7" ht="15.5" x14ac:dyDescent="0.35">
      <c r="A9" s="241" t="s">
        <v>168</v>
      </c>
      <c r="B9" s="242"/>
      <c r="C9" s="242"/>
      <c r="D9" s="242"/>
      <c r="E9" s="242"/>
      <c r="F9" s="243"/>
    </row>
    <row r="10" spans="1:7" ht="15.5" x14ac:dyDescent="0.35">
      <c r="A10" s="241" t="s">
        <v>169</v>
      </c>
      <c r="B10" s="242"/>
      <c r="C10" s="242"/>
      <c r="D10" s="242"/>
      <c r="E10" s="242"/>
      <c r="F10" s="243"/>
    </row>
    <row r="11" spans="1:7" ht="15.5" x14ac:dyDescent="0.35">
      <c r="A11" s="241" t="s">
        <v>171</v>
      </c>
      <c r="B11" s="242"/>
      <c r="C11" s="242"/>
      <c r="D11" s="242"/>
      <c r="E11" s="242"/>
      <c r="F11" s="243"/>
    </row>
    <row r="12" spans="1:7" ht="15" customHeight="1" x14ac:dyDescent="0.35">
      <c r="A12" s="241" t="s">
        <v>170</v>
      </c>
      <c r="B12" s="242"/>
      <c r="C12" s="242"/>
      <c r="D12" s="242"/>
      <c r="E12" s="242"/>
      <c r="F12" s="243"/>
    </row>
    <row r="13" spans="1:7" ht="15" customHeight="1" x14ac:dyDescent="0.35">
      <c r="A13" s="241" t="s">
        <v>172</v>
      </c>
      <c r="B13" s="242"/>
      <c r="C13" s="242"/>
      <c r="D13" s="242"/>
      <c r="E13" s="242"/>
      <c r="F13" s="243"/>
    </row>
    <row r="14" spans="1:7" ht="15.5" x14ac:dyDescent="0.35">
      <c r="A14" s="241" t="s">
        <v>180</v>
      </c>
      <c r="B14" s="242"/>
      <c r="C14" s="242"/>
      <c r="D14" s="242"/>
      <c r="E14" s="242"/>
      <c r="F14" s="243"/>
    </row>
    <row r="15" spans="1:7" ht="15" customHeight="1" x14ac:dyDescent="0.35">
      <c r="A15" s="241" t="s">
        <v>173</v>
      </c>
      <c r="B15" s="242"/>
      <c r="C15" s="242"/>
      <c r="D15" s="242"/>
      <c r="E15" s="242"/>
      <c r="F15" s="243"/>
    </row>
    <row r="16" spans="1:7" ht="15" customHeight="1" x14ac:dyDescent="0.35">
      <c r="A16" s="241" t="s">
        <v>181</v>
      </c>
      <c r="B16" s="242"/>
      <c r="C16" s="242"/>
      <c r="D16" s="242"/>
      <c r="E16" s="242"/>
      <c r="F16" s="243"/>
    </row>
    <row r="17" spans="1:6" ht="15.5" x14ac:dyDescent="0.35">
      <c r="A17" s="241" t="s">
        <v>176</v>
      </c>
      <c r="B17" s="242"/>
      <c r="C17" s="242"/>
      <c r="D17" s="242"/>
      <c r="E17" s="242"/>
      <c r="F17" s="243"/>
    </row>
    <row r="18" spans="1:6" ht="15.5" x14ac:dyDescent="0.35">
      <c r="A18" s="241" t="s">
        <v>174</v>
      </c>
      <c r="B18" s="242"/>
      <c r="C18" s="242"/>
      <c r="D18" s="242"/>
      <c r="E18" s="242"/>
      <c r="F18" s="243"/>
    </row>
    <row r="19" spans="1:6" ht="15.5" x14ac:dyDescent="0.35">
      <c r="A19" s="241" t="s">
        <v>175</v>
      </c>
      <c r="B19" s="242"/>
      <c r="C19" s="242"/>
      <c r="D19" s="242"/>
      <c r="E19" s="242"/>
      <c r="F19" s="243"/>
    </row>
    <row r="20" spans="1:6" ht="15.5" x14ac:dyDescent="0.35">
      <c r="A20" s="241" t="s">
        <v>177</v>
      </c>
      <c r="B20" s="242"/>
      <c r="C20" s="242"/>
      <c r="D20" s="242"/>
      <c r="E20" s="242"/>
      <c r="F20" s="243"/>
    </row>
    <row r="21" spans="1:6" ht="15.5" x14ac:dyDescent="0.35">
      <c r="A21" s="241" t="s">
        <v>182</v>
      </c>
      <c r="B21" s="242"/>
      <c r="C21" s="242"/>
      <c r="D21" s="242"/>
      <c r="E21" s="242"/>
      <c r="F21" s="243"/>
    </row>
    <row r="22" spans="1:6" ht="15.5" x14ac:dyDescent="0.35">
      <c r="A22" s="241" t="s">
        <v>178</v>
      </c>
      <c r="B22" s="242"/>
      <c r="C22" s="242"/>
      <c r="D22" s="242"/>
      <c r="E22" s="242"/>
      <c r="F22" s="243"/>
    </row>
    <row r="23" spans="1:6" ht="15.5" x14ac:dyDescent="0.35">
      <c r="A23" s="241" t="s">
        <v>179</v>
      </c>
      <c r="B23" s="242"/>
      <c r="C23" s="242"/>
      <c r="D23" s="242"/>
      <c r="E23" s="242"/>
      <c r="F23" s="243"/>
    </row>
    <row r="24" spans="1:6" x14ac:dyDescent="0.35">
      <c r="A24" s="199" t="s">
        <v>379</v>
      </c>
      <c r="B24" s="200"/>
      <c r="C24" s="200"/>
      <c r="D24" s="200"/>
      <c r="E24" s="200"/>
      <c r="F24" s="201"/>
    </row>
    <row r="25" spans="1:6" ht="29.25" customHeight="1" x14ac:dyDescent="0.35">
      <c r="A25" s="254"/>
      <c r="B25" s="255"/>
      <c r="C25" s="255"/>
      <c r="D25" s="255"/>
      <c r="E25" s="255"/>
      <c r="F25" s="256"/>
    </row>
    <row r="26" spans="1:6" x14ac:dyDescent="0.35">
      <c r="A26" s="125" t="s">
        <v>116</v>
      </c>
      <c r="B26" s="125" t="s">
        <v>120</v>
      </c>
      <c r="C26" s="244" t="s">
        <v>117</v>
      </c>
      <c r="D26" s="245"/>
      <c r="E26" s="125" t="s">
        <v>118</v>
      </c>
      <c r="F26" s="125" t="s">
        <v>119</v>
      </c>
    </row>
    <row r="27" spans="1:6" x14ac:dyDescent="0.35">
      <c r="A27" s="67">
        <v>1</v>
      </c>
      <c r="B27" s="130">
        <f>'ORDEM DE SERVIÇO'!D7</f>
        <v>25</v>
      </c>
      <c r="C27" s="209" t="str">
        <f>VLOOKUP(B27,'MATRIZ FUNCIONÁRIOS'!A:H,2,0)</f>
        <v>JOSE ANDRE DE SANTANA CRISPIM</v>
      </c>
      <c r="D27" s="209"/>
      <c r="E27" s="131" t="str">
        <f>VLOOKUP(B27,'MATRIZ FUNCIONÁRIOS'!A:H,3,0)</f>
        <v xml:space="preserve">AJUDANTE  DE OBRAS </v>
      </c>
      <c r="F27" s="132" t="s">
        <v>55</v>
      </c>
    </row>
    <row r="28" spans="1:6" x14ac:dyDescent="0.35">
      <c r="A28" s="67">
        <v>2</v>
      </c>
      <c r="B28" s="46"/>
      <c r="C28" s="185" t="e">
        <f>VLOOKUP(B28,'MATRIZ FUNCIONÁRIOS'!A:H,2,0)</f>
        <v>#N/A</v>
      </c>
      <c r="D28" s="185"/>
      <c r="E28" s="70" t="e">
        <f>VLOOKUP(B28,'MATRIZ FUNCIONÁRIOS'!A:H,3,0)</f>
        <v>#N/A</v>
      </c>
      <c r="F28" s="69"/>
    </row>
    <row r="29" spans="1:6" x14ac:dyDescent="0.35">
      <c r="A29" s="67">
        <v>3</v>
      </c>
      <c r="B29" s="46"/>
      <c r="C29" s="185" t="e">
        <f>VLOOKUP(B29,'MATRIZ FUNCIONÁRIOS'!A:H,2,0)</f>
        <v>#N/A</v>
      </c>
      <c r="D29" s="185"/>
      <c r="E29" s="45" t="e">
        <f>VLOOKUP(B29,'MATRIZ FUNCIONÁRIOS'!A:H,3,0)</f>
        <v>#N/A</v>
      </c>
      <c r="F29" s="69"/>
    </row>
    <row r="30" spans="1:6" x14ac:dyDescent="0.35">
      <c r="A30" s="67">
        <v>4</v>
      </c>
      <c r="B30" s="46"/>
      <c r="C30" s="185" t="e">
        <f>VLOOKUP(B30,'MATRIZ FUNCIONÁRIOS'!A:H,2,0)</f>
        <v>#N/A</v>
      </c>
      <c r="D30" s="185"/>
      <c r="E30" s="45" t="e">
        <f>VLOOKUP(B30,'MATRIZ FUNCIONÁRIOS'!A:H,3,0)</f>
        <v>#N/A</v>
      </c>
      <c r="F30" s="69"/>
    </row>
    <row r="31" spans="1:6" x14ac:dyDescent="0.35">
      <c r="A31" s="67">
        <v>5</v>
      </c>
      <c r="B31" s="46"/>
      <c r="C31" s="185" t="e">
        <f>VLOOKUP(B31,'MATRIZ FUNCIONÁRIOS'!A:H,2,0)</f>
        <v>#N/A</v>
      </c>
      <c r="D31" s="185"/>
      <c r="E31" s="45" t="e">
        <f>VLOOKUP(B31,'MATRIZ FUNCIONÁRIOS'!A:H,3,0)</f>
        <v>#N/A</v>
      </c>
      <c r="F31" s="69"/>
    </row>
    <row r="32" spans="1:6" x14ac:dyDescent="0.35">
      <c r="A32" s="67">
        <v>6</v>
      </c>
      <c r="B32" s="46"/>
      <c r="C32" s="185" t="e">
        <f>VLOOKUP(B32,'MATRIZ FUNCIONÁRIOS'!A:H,2,0)</f>
        <v>#N/A</v>
      </c>
      <c r="D32" s="185"/>
      <c r="E32" s="45" t="e">
        <f>VLOOKUP(B32,'MATRIZ FUNCIONÁRIOS'!A:H,3,0)</f>
        <v>#N/A</v>
      </c>
      <c r="F32" s="69"/>
    </row>
    <row r="33" spans="1:6" x14ac:dyDescent="0.35">
      <c r="A33" s="67">
        <v>7</v>
      </c>
      <c r="B33" s="46"/>
      <c r="C33" s="185" t="e">
        <f>VLOOKUP(B33,'MATRIZ FUNCIONÁRIOS'!A:H,2,0)</f>
        <v>#N/A</v>
      </c>
      <c r="D33" s="185"/>
      <c r="E33" s="45" t="e">
        <f>VLOOKUP(B33,'MATRIZ FUNCIONÁRIOS'!A:H,3,0)</f>
        <v>#N/A</v>
      </c>
      <c r="F33" s="69"/>
    </row>
    <row r="34" spans="1:6" x14ac:dyDescent="0.35">
      <c r="A34" s="67">
        <v>8</v>
      </c>
      <c r="B34" s="46"/>
      <c r="C34" s="185" t="e">
        <f>VLOOKUP(B34,'MATRIZ FUNCIONÁRIOS'!A:H,2,0)</f>
        <v>#N/A</v>
      </c>
      <c r="D34" s="185"/>
      <c r="E34" s="45" t="e">
        <f>VLOOKUP(B34,'MATRIZ FUNCIONÁRIOS'!A:H,3,0)</f>
        <v>#N/A</v>
      </c>
      <c r="F34" s="69"/>
    </row>
    <row r="35" spans="1:6" x14ac:dyDescent="0.35">
      <c r="A35" s="67">
        <v>9</v>
      </c>
      <c r="B35" s="46"/>
      <c r="C35" s="185" t="e">
        <f>VLOOKUP(B35,'MATRIZ FUNCIONÁRIOS'!A:H,2,0)</f>
        <v>#N/A</v>
      </c>
      <c r="D35" s="185"/>
      <c r="E35" s="45" t="e">
        <f>VLOOKUP(B35,'MATRIZ FUNCIONÁRIOS'!A:H,3,0)</f>
        <v>#N/A</v>
      </c>
      <c r="F35" s="69"/>
    </row>
    <row r="36" spans="1:6" x14ac:dyDescent="0.35">
      <c r="A36" s="67">
        <v>10</v>
      </c>
      <c r="B36" s="46"/>
      <c r="C36" s="185" t="e">
        <f>VLOOKUP(B36,'MATRIZ FUNCIONÁRIOS'!A:H,2,0)</f>
        <v>#N/A</v>
      </c>
      <c r="D36" s="186"/>
      <c r="E36" s="45" t="e">
        <f>VLOOKUP(B36,'MATRIZ FUNCIONÁRIOS'!A:H,3,0)</f>
        <v>#N/A</v>
      </c>
      <c r="F36" s="69"/>
    </row>
    <row r="37" spans="1:6" x14ac:dyDescent="0.35">
      <c r="A37" s="67">
        <v>11</v>
      </c>
      <c r="B37" s="46"/>
      <c r="C37" s="185" t="e">
        <f>VLOOKUP(B37,'MATRIZ FUNCIONÁRIOS'!A:H,2,0)</f>
        <v>#N/A</v>
      </c>
      <c r="D37" s="186"/>
      <c r="E37" s="45" t="e">
        <f>VLOOKUP(B37,'MATRIZ FUNCIONÁRIOS'!A:H,3,0)</f>
        <v>#N/A</v>
      </c>
      <c r="F37" s="69"/>
    </row>
    <row r="38" spans="1:6" ht="18" customHeight="1" x14ac:dyDescent="0.35">
      <c r="A38" s="187" t="s">
        <v>166</v>
      </c>
      <c r="B38" s="187"/>
      <c r="C38" s="187"/>
      <c r="D38" s="187"/>
      <c r="E38" s="188"/>
      <c r="F38" s="188"/>
    </row>
    <row r="39" spans="1:6" ht="15" customHeight="1" x14ac:dyDescent="0.35">
      <c r="A39" s="187"/>
      <c r="B39" s="187"/>
      <c r="C39" s="187"/>
      <c r="D39" s="187"/>
      <c r="E39" s="188"/>
      <c r="F39" s="188"/>
    </row>
    <row r="40" spans="1:6" x14ac:dyDescent="0.35">
      <c r="A40" s="187"/>
      <c r="B40" s="187"/>
      <c r="C40" s="187"/>
      <c r="D40" s="187"/>
      <c r="E40" s="188"/>
      <c r="F40" s="188"/>
    </row>
    <row r="41" spans="1:6" ht="15" customHeight="1" x14ac:dyDescent="0.35">
      <c r="A41" s="187"/>
      <c r="B41" s="187"/>
      <c r="C41" s="187"/>
      <c r="D41" s="187"/>
      <c r="E41" s="188"/>
      <c r="F41" s="188"/>
    </row>
  </sheetData>
  <mergeCells count="43">
    <mergeCell ref="A1:B2"/>
    <mergeCell ref="A3:C3"/>
    <mergeCell ref="D3:E3"/>
    <mergeCell ref="C30:D30"/>
    <mergeCell ref="D4:E4"/>
    <mergeCell ref="A5:C5"/>
    <mergeCell ref="D5:E5"/>
    <mergeCell ref="A6:C6"/>
    <mergeCell ref="D6:E6"/>
    <mergeCell ref="A7:F7"/>
    <mergeCell ref="A4:C4"/>
    <mergeCell ref="A13:F13"/>
    <mergeCell ref="A9:F9"/>
    <mergeCell ref="A10:F10"/>
    <mergeCell ref="A24:F25"/>
    <mergeCell ref="A11:F11"/>
    <mergeCell ref="C37:D37"/>
    <mergeCell ref="A38:D41"/>
    <mergeCell ref="E38:F41"/>
    <mergeCell ref="C1:F1"/>
    <mergeCell ref="C2:F2"/>
    <mergeCell ref="C31:D31"/>
    <mergeCell ref="C32:D32"/>
    <mergeCell ref="C33:D33"/>
    <mergeCell ref="C34:D34"/>
    <mergeCell ref="C35:D35"/>
    <mergeCell ref="C36:D36"/>
    <mergeCell ref="C26:D26"/>
    <mergeCell ref="C27:D27"/>
    <mergeCell ref="C28:D28"/>
    <mergeCell ref="C29:D29"/>
    <mergeCell ref="A8:F8"/>
    <mergeCell ref="A12:F12"/>
    <mergeCell ref="A19:F19"/>
    <mergeCell ref="A23:F23"/>
    <mergeCell ref="A22:F22"/>
    <mergeCell ref="A21:F21"/>
    <mergeCell ref="A20:F20"/>
    <mergeCell ref="A14:F14"/>
    <mergeCell ref="A15:F15"/>
    <mergeCell ref="A16:F16"/>
    <mergeCell ref="A17:F17"/>
    <mergeCell ref="A18:F18"/>
  </mergeCells>
  <pageMargins left="0.25" right="0.25"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F481C-E1B6-463D-974F-39FB5ACC3A63}">
  <dimension ref="C7:AC71"/>
  <sheetViews>
    <sheetView topLeftCell="A3" zoomScale="70" zoomScaleNormal="70" workbookViewId="0">
      <selection activeCell="U16" sqref="U16"/>
    </sheetView>
  </sheetViews>
  <sheetFormatPr defaultRowHeight="14.5" x14ac:dyDescent="0.35"/>
  <cols>
    <col min="2" max="2" width="7.453125" customWidth="1"/>
    <col min="4" max="4" width="7.81640625" customWidth="1"/>
    <col min="6" max="6" width="6" customWidth="1"/>
    <col min="7" max="7" width="11.1796875" customWidth="1"/>
    <col min="8" max="8" width="1.81640625" customWidth="1"/>
    <col min="9" max="10" width="10.1796875" customWidth="1"/>
    <col min="11" max="11" width="11.81640625" customWidth="1"/>
    <col min="12" max="12" width="8.1796875" customWidth="1"/>
    <col min="13" max="13" width="1.81640625" customWidth="1"/>
    <col min="14" max="15" width="9.1796875" customWidth="1"/>
    <col min="16" max="16" width="4.1796875" customWidth="1"/>
    <col min="17" max="17" width="45.1796875" customWidth="1"/>
  </cols>
  <sheetData>
    <row r="7" spans="3:29" x14ac:dyDescent="0.35">
      <c r="C7" s="232" t="s">
        <v>135</v>
      </c>
      <c r="D7" s="232"/>
      <c r="E7" s="232"/>
      <c r="F7" s="232"/>
      <c r="G7" s="232"/>
      <c r="H7" s="232"/>
      <c r="I7" s="232"/>
      <c r="J7" s="232"/>
      <c r="K7" s="232"/>
      <c r="L7" s="232"/>
      <c r="M7" s="232"/>
      <c r="N7" s="232"/>
      <c r="O7" s="232"/>
      <c r="P7" s="232"/>
      <c r="Q7" s="232"/>
    </row>
    <row r="8" spans="3:29" ht="20.25" customHeight="1" x14ac:dyDescent="0.35">
      <c r="C8" s="232"/>
      <c r="D8" s="232"/>
      <c r="E8" s="232"/>
      <c r="F8" s="232"/>
      <c r="G8" s="232"/>
      <c r="H8" s="232"/>
      <c r="I8" s="232"/>
      <c r="J8" s="232"/>
      <c r="K8" s="232"/>
      <c r="L8" s="232"/>
      <c r="M8" s="232"/>
      <c r="N8" s="232"/>
      <c r="O8" s="232"/>
      <c r="P8" s="232"/>
      <c r="Q8" s="232"/>
    </row>
    <row r="9" spans="3:29" ht="20.25" customHeight="1" x14ac:dyDescent="0.35">
      <c r="C9" s="232"/>
      <c r="D9" s="232"/>
      <c r="E9" s="232"/>
      <c r="F9" s="232"/>
      <c r="G9" s="232"/>
      <c r="H9" s="232"/>
      <c r="I9" s="232"/>
      <c r="J9" s="232"/>
      <c r="K9" s="232"/>
      <c r="L9" s="232"/>
      <c r="M9" s="232"/>
      <c r="N9" s="232"/>
      <c r="O9" s="232"/>
      <c r="P9" s="232"/>
      <c r="Q9" s="232"/>
    </row>
    <row r="10" spans="3:29" ht="20" x14ac:dyDescent="0.4">
      <c r="C10" s="80"/>
      <c r="D10" s="80"/>
      <c r="E10" s="80"/>
      <c r="F10" s="80"/>
      <c r="G10" s="80"/>
      <c r="H10" s="80"/>
      <c r="I10" s="80"/>
      <c r="J10" s="80"/>
      <c r="K10" s="80"/>
      <c r="L10" s="80"/>
      <c r="M10" s="80"/>
      <c r="N10" s="80"/>
      <c r="O10" s="80"/>
      <c r="P10" s="80"/>
      <c r="Q10" s="80"/>
      <c r="W10" s="80"/>
      <c r="X10" s="80"/>
      <c r="Y10" s="80"/>
      <c r="Z10" s="80"/>
      <c r="AA10" s="80"/>
      <c r="AB10" s="80"/>
      <c r="AC10" s="80"/>
    </row>
    <row r="11" spans="3:29" ht="20" x14ac:dyDescent="0.4">
      <c r="C11" s="80"/>
      <c r="D11" s="80"/>
      <c r="E11" s="80"/>
      <c r="F11" s="80"/>
      <c r="G11" s="80"/>
      <c r="H11" s="80"/>
      <c r="I11" s="80"/>
      <c r="J11" s="80"/>
      <c r="K11" s="80"/>
      <c r="L11" s="80"/>
      <c r="M11" s="80"/>
      <c r="N11" s="80"/>
      <c r="O11" s="80"/>
      <c r="P11" s="80"/>
      <c r="Q11" s="80"/>
      <c r="W11" s="80"/>
      <c r="X11" s="80"/>
      <c r="Y11" s="80"/>
      <c r="Z11" s="80"/>
      <c r="AA11" s="80"/>
      <c r="AB11" s="80"/>
      <c r="AC11" s="80"/>
    </row>
    <row r="12" spans="3:29" ht="20" x14ac:dyDescent="0.4">
      <c r="C12" s="233" t="s">
        <v>131</v>
      </c>
      <c r="D12" s="233"/>
      <c r="E12" s="233"/>
      <c r="F12" s="233"/>
      <c r="G12" s="234" t="str">
        <f>'ORDEM DE SERVIÇO'!B9</f>
        <v>JOSE ANDRE DE SANTANA CRISPIM</v>
      </c>
      <c r="H12" s="234"/>
      <c r="I12" s="234"/>
      <c r="J12" s="234"/>
      <c r="K12" s="234"/>
      <c r="L12" s="234"/>
      <c r="M12" s="231" t="s">
        <v>132</v>
      </c>
      <c r="N12" s="231"/>
      <c r="O12" s="231"/>
      <c r="P12" s="231"/>
      <c r="Q12" s="86">
        <f>'ORDEM DE SERVIÇO'!B40</f>
        <v>3140099</v>
      </c>
      <c r="W12" s="80"/>
      <c r="X12" s="80"/>
      <c r="Y12" s="80"/>
      <c r="Z12" s="80"/>
      <c r="AA12" s="80"/>
      <c r="AB12" s="80"/>
      <c r="AC12" s="80"/>
    </row>
    <row r="13" spans="3:29" ht="20" x14ac:dyDescent="0.4">
      <c r="C13" s="235" t="s">
        <v>183</v>
      </c>
      <c r="D13" s="235"/>
      <c r="E13" s="235"/>
      <c r="F13" s="235"/>
      <c r="G13" s="235"/>
      <c r="H13" s="235"/>
      <c r="I13" s="235"/>
      <c r="J13" s="235"/>
      <c r="K13" s="235"/>
      <c r="L13" s="235"/>
      <c r="M13" s="235"/>
      <c r="N13" s="235"/>
      <c r="O13" s="235"/>
      <c r="P13" s="235"/>
      <c r="Q13" s="235"/>
      <c r="W13" s="80"/>
      <c r="X13" s="80"/>
      <c r="Y13" s="80"/>
      <c r="Z13" s="80"/>
      <c r="AA13" s="80"/>
      <c r="AB13" s="80"/>
      <c r="AC13" s="80"/>
    </row>
    <row r="14" spans="3:29" ht="20" x14ac:dyDescent="0.4">
      <c r="C14" s="233" t="s">
        <v>184</v>
      </c>
      <c r="D14" s="233"/>
      <c r="E14" s="233"/>
      <c r="F14" s="233"/>
      <c r="G14" s="233"/>
      <c r="H14" s="236">
        <f>F23</f>
        <v>45757</v>
      </c>
      <c r="I14" s="231"/>
      <c r="J14" s="231"/>
      <c r="K14" s="231" t="s">
        <v>185</v>
      </c>
      <c r="L14" s="231"/>
      <c r="M14" s="260" t="str">
        <f>'ORDEM DE SERVIÇO'!D9</f>
        <v xml:space="preserve">AJUDANTE  DE OBRAS </v>
      </c>
      <c r="N14" s="260"/>
      <c r="O14" s="260"/>
      <c r="P14" s="260"/>
      <c r="Q14" s="260"/>
      <c r="W14" s="80"/>
      <c r="X14" s="80"/>
      <c r="Y14" s="80"/>
      <c r="Z14" s="80"/>
      <c r="AA14" s="80"/>
      <c r="AB14" s="80"/>
      <c r="AC14" s="80"/>
    </row>
    <row r="15" spans="3:29" ht="20.25" customHeight="1" x14ac:dyDescent="0.4">
      <c r="C15" s="237" t="str">
        <f>'TREINAMENTO DE NR 11'!A24</f>
        <v>Treinamento para as máquinas: CAMINHÃO MUNCK, ROLO COMPACTADOR, ROLO CHAPA E PNEU, BOBCAT, ROLO PATA DE CARNEIRO, FRESADORA DE ASFALTICO, ESCAVADEIRA HIDRÁULICA RETROESCAVADEIRA E MOTONIVELADORA (PATROL).</v>
      </c>
      <c r="D15" s="237"/>
      <c r="E15" s="237"/>
      <c r="F15" s="237"/>
      <c r="G15" s="237"/>
      <c r="H15" s="237"/>
      <c r="I15" s="237"/>
      <c r="J15" s="237"/>
      <c r="K15" s="237"/>
      <c r="L15" s="237"/>
      <c r="M15" s="237"/>
      <c r="N15" s="237"/>
      <c r="O15" s="237"/>
      <c r="P15" s="237"/>
      <c r="Q15" s="237"/>
      <c r="W15" s="80"/>
      <c r="X15" s="80"/>
      <c r="Y15" s="80"/>
      <c r="Z15" s="80"/>
      <c r="AA15" s="80"/>
      <c r="AB15" s="80"/>
      <c r="AC15" s="80"/>
    </row>
    <row r="16" spans="3:29" ht="20" x14ac:dyDescent="0.4">
      <c r="C16" s="237"/>
      <c r="D16" s="237"/>
      <c r="E16" s="237"/>
      <c r="F16" s="237"/>
      <c r="G16" s="237"/>
      <c r="H16" s="237"/>
      <c r="I16" s="237"/>
      <c r="J16" s="237"/>
      <c r="K16" s="237"/>
      <c r="L16" s="237"/>
      <c r="M16" s="237"/>
      <c r="N16" s="237"/>
      <c r="O16" s="237"/>
      <c r="P16" s="237"/>
      <c r="Q16" s="237"/>
      <c r="W16" s="80"/>
      <c r="X16" s="80"/>
      <c r="Y16" s="80"/>
      <c r="Z16" s="80"/>
      <c r="AA16" s="80"/>
      <c r="AB16" s="80"/>
      <c r="AC16" s="80"/>
    </row>
    <row r="17" spans="3:29" ht="20" x14ac:dyDescent="0.4">
      <c r="C17" s="237"/>
      <c r="D17" s="237"/>
      <c r="E17" s="237"/>
      <c r="F17" s="237"/>
      <c r="G17" s="237"/>
      <c r="H17" s="237"/>
      <c r="I17" s="237"/>
      <c r="J17" s="237"/>
      <c r="K17" s="237"/>
      <c r="L17" s="237"/>
      <c r="M17" s="237"/>
      <c r="N17" s="237"/>
      <c r="O17" s="237"/>
      <c r="P17" s="237"/>
      <c r="Q17" s="237"/>
      <c r="W17" s="80"/>
      <c r="X17" s="80"/>
      <c r="Y17" s="80"/>
      <c r="Z17" s="80"/>
      <c r="AA17" s="80"/>
      <c r="AB17" s="80"/>
      <c r="AC17" s="80"/>
    </row>
    <row r="18" spans="3:29" ht="20" x14ac:dyDescent="0.4">
      <c r="C18" s="233" t="s">
        <v>595</v>
      </c>
      <c r="D18" s="233"/>
      <c r="E18" s="233"/>
      <c r="F18" s="233"/>
      <c r="G18" s="233"/>
      <c r="H18" s="233"/>
      <c r="I18" s="233"/>
      <c r="J18" s="233"/>
      <c r="K18" s="233"/>
      <c r="L18" s="233"/>
      <c r="M18" s="233"/>
      <c r="N18" s="233"/>
      <c r="O18" s="233"/>
      <c r="P18" s="233"/>
      <c r="Q18" s="233"/>
      <c r="W18" s="80"/>
      <c r="X18" s="80"/>
      <c r="Y18" s="80"/>
      <c r="Z18" s="80"/>
      <c r="AA18" s="80"/>
      <c r="AB18" s="80"/>
      <c r="AC18" s="80"/>
    </row>
    <row r="19" spans="3:29" ht="20" x14ac:dyDescent="0.4">
      <c r="C19" s="258" t="s">
        <v>596</v>
      </c>
      <c r="D19" s="258"/>
      <c r="E19" s="258"/>
      <c r="F19" s="258"/>
      <c r="G19" s="258"/>
      <c r="H19" s="258"/>
      <c r="I19" s="258"/>
      <c r="J19" s="258"/>
      <c r="K19" s="258"/>
      <c r="L19" s="258"/>
      <c r="M19" s="258"/>
      <c r="N19" s="258"/>
      <c r="O19" s="258"/>
      <c r="P19" s="258"/>
      <c r="Q19" s="258"/>
      <c r="W19" s="80"/>
      <c r="X19" s="80"/>
      <c r="Y19" s="80"/>
      <c r="Z19" s="80"/>
      <c r="AA19" s="80"/>
      <c r="AB19" s="80"/>
      <c r="AC19" s="80"/>
    </row>
    <row r="20" spans="3:29" ht="20" x14ac:dyDescent="0.4">
      <c r="C20" s="258"/>
      <c r="D20" s="259"/>
      <c r="E20" s="259"/>
      <c r="F20" s="259"/>
      <c r="G20" s="259"/>
      <c r="H20" s="259"/>
      <c r="I20" s="259"/>
      <c r="J20" s="259"/>
      <c r="K20" s="259"/>
      <c r="L20" s="259"/>
      <c r="M20" s="259"/>
      <c r="N20" s="259"/>
      <c r="O20" s="259"/>
      <c r="P20" s="259"/>
      <c r="Q20" s="259"/>
      <c r="W20" s="80"/>
      <c r="X20" s="80"/>
      <c r="Y20" s="80"/>
      <c r="Z20" s="80"/>
      <c r="AA20" s="80"/>
      <c r="AB20" s="80"/>
      <c r="AC20" s="80"/>
    </row>
    <row r="21" spans="3:29" ht="18" customHeight="1" x14ac:dyDescent="0.4">
      <c r="C21" s="80" t="s">
        <v>472</v>
      </c>
      <c r="W21" s="80"/>
      <c r="X21" s="80"/>
      <c r="Y21" s="80"/>
      <c r="Z21" s="80"/>
      <c r="AA21" s="80"/>
      <c r="AB21" s="80"/>
      <c r="AC21" s="80"/>
    </row>
    <row r="22" spans="3:29" ht="20" x14ac:dyDescent="0.4">
      <c r="C22" s="80"/>
      <c r="D22" s="80"/>
      <c r="E22" s="80"/>
      <c r="F22" s="80"/>
      <c r="G22" s="80"/>
      <c r="H22" s="80"/>
      <c r="I22" s="80"/>
      <c r="J22" s="80"/>
      <c r="K22" s="80"/>
      <c r="L22" s="80"/>
      <c r="M22" s="80"/>
      <c r="N22" s="80"/>
      <c r="O22" s="80"/>
      <c r="P22" s="80"/>
      <c r="Q22" s="80"/>
      <c r="W22" s="80"/>
      <c r="X22" s="80"/>
      <c r="Y22" s="80"/>
      <c r="Z22" s="80"/>
      <c r="AA22" s="80"/>
      <c r="AB22" s="80"/>
      <c r="AC22" s="80"/>
    </row>
    <row r="23" spans="3:29" ht="20" x14ac:dyDescent="0.4">
      <c r="C23" s="233" t="s">
        <v>134</v>
      </c>
      <c r="D23" s="233"/>
      <c r="E23" s="233"/>
      <c r="F23" s="240">
        <f>'TREINAMENTO DE NR 11'!F4</f>
        <v>45757</v>
      </c>
      <c r="G23" s="240"/>
      <c r="H23" s="240"/>
      <c r="I23" s="240"/>
      <c r="J23" s="80"/>
      <c r="K23" s="80"/>
      <c r="L23" s="80"/>
      <c r="M23" s="80"/>
      <c r="N23" s="80"/>
      <c r="O23" s="80"/>
      <c r="P23" s="80"/>
      <c r="Q23" s="80"/>
      <c r="W23" s="80"/>
      <c r="X23" s="80"/>
      <c r="Y23" s="80"/>
      <c r="Z23" s="80"/>
      <c r="AA23" s="80"/>
      <c r="AB23" s="80"/>
      <c r="AC23" s="80"/>
    </row>
    <row r="24" spans="3:29" ht="20" x14ac:dyDescent="0.4">
      <c r="C24" s="80"/>
      <c r="D24" s="80"/>
      <c r="E24" s="80"/>
      <c r="F24" s="80"/>
      <c r="G24" s="80"/>
      <c r="H24" s="80"/>
      <c r="I24" s="80"/>
      <c r="J24" s="80"/>
      <c r="K24" s="80"/>
      <c r="L24" s="80"/>
      <c r="M24" s="80"/>
      <c r="N24" s="80"/>
      <c r="O24" s="80"/>
      <c r="P24" s="80"/>
      <c r="Q24" s="80"/>
      <c r="W24" s="80"/>
      <c r="X24" s="80"/>
      <c r="Y24" s="80"/>
      <c r="Z24" s="80"/>
      <c r="AA24" s="80"/>
      <c r="AB24" s="80"/>
      <c r="AC24" s="80"/>
    </row>
    <row r="25" spans="3:29" ht="20" x14ac:dyDescent="0.4">
      <c r="C25" s="80"/>
      <c r="D25" s="80"/>
      <c r="E25" s="80"/>
      <c r="F25" s="80"/>
      <c r="G25" s="80"/>
      <c r="H25" s="80"/>
      <c r="I25" s="80"/>
      <c r="J25" s="80"/>
      <c r="K25" s="80"/>
      <c r="L25" s="80"/>
      <c r="M25" s="80"/>
      <c r="N25" s="80"/>
      <c r="O25" s="80"/>
      <c r="P25" s="80"/>
      <c r="Q25" s="80"/>
    </row>
    <row r="26" spans="3:29" ht="15.65" customHeight="1" x14ac:dyDescent="0.4">
      <c r="C26" s="80"/>
      <c r="D26" s="80"/>
      <c r="E26" s="80"/>
      <c r="F26" s="80"/>
      <c r="G26" s="80"/>
      <c r="H26" s="80"/>
      <c r="I26" s="80"/>
      <c r="J26" s="80"/>
      <c r="K26" s="80"/>
      <c r="L26" s="80"/>
      <c r="M26" s="80"/>
      <c r="N26" s="80" t="s">
        <v>45</v>
      </c>
      <c r="O26" s="80"/>
      <c r="P26" s="80"/>
      <c r="Q26" s="80"/>
      <c r="Y26" t="s">
        <v>91</v>
      </c>
    </row>
    <row r="27" spans="3:29" x14ac:dyDescent="0.35">
      <c r="C27" s="227" t="s">
        <v>452</v>
      </c>
      <c r="D27" s="227"/>
      <c r="E27" s="227"/>
      <c r="F27" s="227"/>
      <c r="G27" s="227"/>
      <c r="H27" s="82"/>
      <c r="I27" s="227" t="s">
        <v>452</v>
      </c>
      <c r="J27" s="227"/>
      <c r="K27" s="227"/>
      <c r="L27" s="227"/>
      <c r="M27" s="82"/>
      <c r="N27" s="227" t="str">
        <f>'ORDEM DE SERVIÇO'!B39</f>
        <v>JOSE ANDRE DE SANTANA CRISPIM</v>
      </c>
      <c r="O27" s="227"/>
      <c r="P27" s="227"/>
      <c r="Q27" s="227"/>
    </row>
    <row r="28" spans="3:29" x14ac:dyDescent="0.35">
      <c r="C28" s="228" t="s">
        <v>206</v>
      </c>
      <c r="D28" s="228"/>
      <c r="E28" s="228"/>
      <c r="F28" s="228"/>
      <c r="G28" s="228"/>
      <c r="H28" s="82"/>
      <c r="I28" s="228" t="s">
        <v>136</v>
      </c>
      <c r="J28" s="228"/>
      <c r="K28" s="228"/>
      <c r="L28" s="228"/>
      <c r="M28" s="82"/>
      <c r="N28" s="228" t="str">
        <f>'ORDEM DE SERVIÇO'!B41</f>
        <v xml:space="preserve">AJUDANTE  DE OBRAS </v>
      </c>
      <c r="O28" s="228"/>
      <c r="P28" s="228"/>
      <c r="Q28" s="228"/>
    </row>
    <row r="29" spans="3:29" x14ac:dyDescent="0.35">
      <c r="C29" s="228" t="s">
        <v>514</v>
      </c>
      <c r="D29" s="228"/>
      <c r="E29" s="228"/>
      <c r="F29" s="228"/>
      <c r="G29" s="228"/>
      <c r="H29" s="82"/>
      <c r="I29" s="228" t="s">
        <v>516</v>
      </c>
      <c r="J29" s="228"/>
      <c r="K29" s="228"/>
      <c r="L29" s="228"/>
      <c r="M29" s="82"/>
      <c r="N29" s="228"/>
      <c r="O29" s="228"/>
      <c r="P29" s="228"/>
      <c r="Q29" s="228"/>
    </row>
    <row r="30" spans="3:29" ht="15.5" x14ac:dyDescent="0.35">
      <c r="C30" s="228"/>
      <c r="D30" s="228"/>
      <c r="E30" s="228"/>
      <c r="F30" s="228"/>
      <c r="G30" s="228"/>
      <c r="H30" s="83"/>
      <c r="I30" s="228" t="s">
        <v>137</v>
      </c>
      <c r="J30" s="228"/>
      <c r="K30" s="228"/>
      <c r="L30" s="228"/>
      <c r="M30" s="79"/>
      <c r="N30" s="261" t="s">
        <v>597</v>
      </c>
      <c r="O30" s="261"/>
      <c r="P30" s="261"/>
      <c r="Q30" s="261"/>
    </row>
    <row r="31" spans="3:29" ht="15.5" x14ac:dyDescent="0.35">
      <c r="C31" s="79"/>
      <c r="D31" s="79"/>
      <c r="E31" s="79"/>
      <c r="F31" s="79"/>
      <c r="G31" s="79"/>
      <c r="H31" s="79"/>
      <c r="I31" s="79"/>
      <c r="J31" s="79"/>
      <c r="K31" s="79"/>
      <c r="L31" s="79"/>
      <c r="M31" s="79"/>
      <c r="N31" s="184"/>
      <c r="O31" s="262" t="s">
        <v>598</v>
      </c>
      <c r="P31" s="262"/>
      <c r="Q31" s="262"/>
    </row>
    <row r="32" spans="3:29" ht="15.5" x14ac:dyDescent="0.35">
      <c r="C32" s="79"/>
      <c r="D32" s="79"/>
      <c r="E32" s="79"/>
      <c r="F32" s="79"/>
      <c r="G32" s="79"/>
      <c r="H32" s="79"/>
      <c r="I32" s="79"/>
      <c r="J32" s="79"/>
      <c r="K32" s="79"/>
      <c r="L32" s="79"/>
      <c r="M32" s="79"/>
      <c r="N32" s="79"/>
      <c r="O32" s="222"/>
      <c r="P32" s="222"/>
      <c r="Q32" s="222"/>
    </row>
    <row r="40" spans="3:19" ht="15" customHeight="1" x14ac:dyDescent="0.35">
      <c r="C40" s="223" t="s">
        <v>207</v>
      </c>
      <c r="D40" s="223"/>
      <c r="E40" s="223"/>
      <c r="F40" s="223"/>
      <c r="G40" s="223"/>
      <c r="H40" s="223"/>
      <c r="I40" s="223"/>
      <c r="J40" s="223"/>
      <c r="K40" s="223"/>
      <c r="L40" s="223"/>
      <c r="M40" s="223"/>
      <c r="N40" s="223"/>
      <c r="O40" s="223"/>
      <c r="P40" s="223"/>
      <c r="Q40" s="223"/>
      <c r="R40" s="81"/>
      <c r="S40" s="81"/>
    </row>
    <row r="41" spans="3:19" ht="15" customHeight="1" x14ac:dyDescent="0.35">
      <c r="C41" s="223"/>
      <c r="D41" s="223"/>
      <c r="E41" s="223"/>
      <c r="F41" s="223"/>
      <c r="G41" s="223"/>
      <c r="H41" s="223"/>
      <c r="I41" s="223"/>
      <c r="J41" s="223"/>
      <c r="K41" s="223"/>
      <c r="L41" s="223"/>
      <c r="M41" s="223"/>
      <c r="N41" s="223"/>
      <c r="O41" s="223"/>
      <c r="P41" s="223"/>
      <c r="Q41" s="223"/>
      <c r="R41" s="81"/>
      <c r="S41" s="81"/>
    </row>
    <row r="42" spans="3:19" ht="15" customHeight="1" x14ac:dyDescent="0.35">
      <c r="C42" s="223"/>
      <c r="D42" s="223"/>
      <c r="E42" s="223"/>
      <c r="F42" s="223"/>
      <c r="G42" s="223"/>
      <c r="H42" s="223"/>
      <c r="I42" s="223"/>
      <c r="J42" s="223"/>
      <c r="K42" s="223"/>
      <c r="L42" s="223"/>
      <c r="M42" s="223"/>
      <c r="N42" s="223"/>
      <c r="O42" s="223"/>
      <c r="P42" s="223"/>
      <c r="Q42" s="223"/>
      <c r="R42" s="81"/>
      <c r="S42" s="81"/>
    </row>
    <row r="46" spans="3:19" ht="15" customHeight="1" x14ac:dyDescent="0.35">
      <c r="C46" s="114" t="s">
        <v>186</v>
      </c>
      <c r="D46" s="115"/>
      <c r="E46" s="115"/>
      <c r="F46" s="115"/>
      <c r="G46" s="115"/>
      <c r="H46" s="115"/>
      <c r="I46" s="115"/>
      <c r="J46" s="115"/>
      <c r="K46" s="115"/>
      <c r="L46" s="115"/>
      <c r="M46" s="115"/>
      <c r="N46" s="115"/>
      <c r="O46" s="115"/>
      <c r="P46" s="115"/>
      <c r="Q46" s="115"/>
      <c r="R46" s="116"/>
      <c r="S46" s="83"/>
    </row>
    <row r="47" spans="3:19" ht="15" customHeight="1" x14ac:dyDescent="0.35">
      <c r="C47" s="109" t="s">
        <v>187</v>
      </c>
      <c r="D47" s="107"/>
      <c r="E47" s="107"/>
      <c r="F47" s="107"/>
      <c r="G47" s="107"/>
      <c r="H47" s="107"/>
      <c r="I47" s="107"/>
      <c r="J47" s="107"/>
      <c r="K47" s="107"/>
      <c r="L47" s="107"/>
      <c r="M47" s="107"/>
      <c r="N47" s="107"/>
      <c r="O47" s="107"/>
      <c r="P47" s="107"/>
      <c r="Q47" s="107"/>
      <c r="R47" s="108"/>
      <c r="S47" s="83"/>
    </row>
    <row r="48" spans="3:19" ht="15" customHeight="1" x14ac:dyDescent="0.35">
      <c r="C48" s="109" t="s">
        <v>188</v>
      </c>
      <c r="D48" s="107"/>
      <c r="E48" s="107"/>
      <c r="F48" s="107"/>
      <c r="G48" s="107"/>
      <c r="H48" s="107"/>
      <c r="I48" s="107"/>
      <c r="J48" s="107"/>
      <c r="K48" s="107"/>
      <c r="L48" s="107"/>
      <c r="M48" s="107"/>
      <c r="N48" s="107"/>
      <c r="O48" s="107"/>
      <c r="P48" s="107"/>
      <c r="Q48" s="107"/>
      <c r="R48" s="108"/>
      <c r="S48" s="83"/>
    </row>
    <row r="49" spans="3:19" ht="15" customHeight="1" x14ac:dyDescent="0.35">
      <c r="C49" s="109" t="s">
        <v>189</v>
      </c>
      <c r="D49" s="107"/>
      <c r="E49" s="107"/>
      <c r="F49" s="107"/>
      <c r="G49" s="107"/>
      <c r="H49" s="107"/>
      <c r="I49" s="107"/>
      <c r="J49" s="107"/>
      <c r="K49" s="107"/>
      <c r="L49" s="107"/>
      <c r="M49" s="107"/>
      <c r="N49" s="107"/>
      <c r="O49" s="107"/>
      <c r="P49" s="107"/>
      <c r="Q49" s="107"/>
      <c r="R49" s="108"/>
      <c r="S49" s="83"/>
    </row>
    <row r="50" spans="3:19" ht="15" customHeight="1" x14ac:dyDescent="0.35">
      <c r="C50" s="109" t="s">
        <v>190</v>
      </c>
      <c r="D50" s="110"/>
      <c r="E50" s="110"/>
      <c r="F50" s="110"/>
      <c r="G50" s="110"/>
      <c r="H50" s="110"/>
      <c r="I50" s="110"/>
      <c r="J50" s="110"/>
      <c r="K50" s="110"/>
      <c r="L50" s="110"/>
      <c r="M50" s="110"/>
      <c r="N50" s="110"/>
      <c r="O50" s="110"/>
      <c r="P50" s="110"/>
      <c r="Q50" s="110"/>
      <c r="R50" s="108"/>
      <c r="S50" s="83"/>
    </row>
    <row r="51" spans="3:19" ht="15" customHeight="1" x14ac:dyDescent="0.35">
      <c r="C51" s="109" t="s">
        <v>191</v>
      </c>
      <c r="D51" s="107"/>
      <c r="E51" s="107"/>
      <c r="F51" s="107"/>
      <c r="G51" s="107"/>
      <c r="H51" s="107"/>
      <c r="I51" s="107"/>
      <c r="J51" s="107"/>
      <c r="K51" s="107"/>
      <c r="L51" s="107"/>
      <c r="M51" s="107"/>
      <c r="N51" s="107"/>
      <c r="O51" s="107"/>
      <c r="P51" s="107"/>
      <c r="Q51" s="107"/>
      <c r="R51" s="108"/>
      <c r="S51" s="83"/>
    </row>
    <row r="52" spans="3:19" ht="15" customHeight="1" x14ac:dyDescent="0.35">
      <c r="C52" s="109" t="s">
        <v>192</v>
      </c>
      <c r="D52" s="107"/>
      <c r="E52" s="107"/>
      <c r="F52" s="107"/>
      <c r="G52" s="107"/>
      <c r="H52" s="107"/>
      <c r="I52" s="107"/>
      <c r="J52" s="107"/>
      <c r="K52" s="107"/>
      <c r="L52" s="107"/>
      <c r="M52" s="107"/>
      <c r="N52" s="107"/>
      <c r="O52" s="107"/>
      <c r="P52" s="107"/>
      <c r="Q52" s="107"/>
      <c r="R52" s="108"/>
      <c r="S52" s="83"/>
    </row>
    <row r="53" spans="3:19" ht="15" customHeight="1" x14ac:dyDescent="0.35">
      <c r="C53" s="109" t="s">
        <v>193</v>
      </c>
      <c r="D53" s="107"/>
      <c r="E53" s="107"/>
      <c r="F53" s="107"/>
      <c r="G53" s="107"/>
      <c r="H53" s="107"/>
      <c r="I53" s="107"/>
      <c r="J53" s="107"/>
      <c r="K53" s="107"/>
      <c r="L53" s="107"/>
      <c r="M53" s="107"/>
      <c r="N53" s="107"/>
      <c r="O53" s="107"/>
      <c r="P53" s="107"/>
      <c r="Q53" s="107"/>
      <c r="R53" s="108"/>
      <c r="S53" s="83"/>
    </row>
    <row r="54" spans="3:19" ht="15" customHeight="1" x14ac:dyDescent="0.35">
      <c r="C54" s="109" t="s">
        <v>194</v>
      </c>
      <c r="D54" s="110"/>
      <c r="E54" s="110"/>
      <c r="F54" s="110"/>
      <c r="G54" s="110"/>
      <c r="H54" s="110"/>
      <c r="I54" s="110"/>
      <c r="J54" s="110"/>
      <c r="K54" s="110"/>
      <c r="L54" s="110"/>
      <c r="M54" s="110"/>
      <c r="N54" s="110"/>
      <c r="O54" s="110"/>
      <c r="P54" s="110"/>
      <c r="Q54" s="110"/>
      <c r="R54" s="108"/>
      <c r="S54" s="83"/>
    </row>
    <row r="55" spans="3:19" ht="15" customHeight="1" x14ac:dyDescent="0.35">
      <c r="C55" s="109" t="s">
        <v>195</v>
      </c>
      <c r="D55" s="107"/>
      <c r="E55" s="107"/>
      <c r="F55" s="107"/>
      <c r="G55" s="107"/>
      <c r="H55" s="107"/>
      <c r="I55" s="107"/>
      <c r="J55" s="107"/>
      <c r="K55" s="107"/>
      <c r="L55" s="107"/>
      <c r="M55" s="107"/>
      <c r="N55" s="107"/>
      <c r="O55" s="107"/>
      <c r="P55" s="107"/>
      <c r="Q55" s="107"/>
      <c r="R55" s="108"/>
      <c r="S55" s="83"/>
    </row>
    <row r="56" spans="3:19" ht="15" customHeight="1" x14ac:dyDescent="0.35">
      <c r="C56" s="109" t="s">
        <v>196</v>
      </c>
      <c r="D56" s="107"/>
      <c r="E56" s="107"/>
      <c r="F56" s="107"/>
      <c r="G56" s="107"/>
      <c r="H56" s="107"/>
      <c r="I56" s="107"/>
      <c r="J56" s="107"/>
      <c r="K56" s="107"/>
      <c r="L56" s="107"/>
      <c r="M56" s="107"/>
      <c r="N56" s="107"/>
      <c r="O56" s="107"/>
      <c r="P56" s="107"/>
      <c r="Q56" s="107"/>
      <c r="R56" s="108"/>
      <c r="S56" s="83"/>
    </row>
    <row r="57" spans="3:19" ht="15" customHeight="1" x14ac:dyDescent="0.35">
      <c r="C57" s="114" t="s">
        <v>197</v>
      </c>
      <c r="D57" s="115"/>
      <c r="E57" s="115"/>
      <c r="F57" s="115"/>
      <c r="G57" s="115"/>
      <c r="H57" s="115"/>
      <c r="I57" s="115"/>
      <c r="J57" s="115"/>
      <c r="K57" s="115"/>
      <c r="L57" s="115"/>
      <c r="M57" s="115"/>
      <c r="N57" s="115"/>
      <c r="O57" s="115"/>
      <c r="P57" s="115"/>
      <c r="Q57" s="115"/>
      <c r="R57" s="116"/>
      <c r="S57" s="83"/>
    </row>
    <row r="58" spans="3:19" ht="15" customHeight="1" x14ac:dyDescent="0.35">
      <c r="C58" s="109" t="s">
        <v>198</v>
      </c>
      <c r="D58" s="107"/>
      <c r="E58" s="107"/>
      <c r="F58" s="107"/>
      <c r="G58" s="107"/>
      <c r="H58" s="107"/>
      <c r="I58" s="107"/>
      <c r="J58" s="107"/>
      <c r="K58" s="107"/>
      <c r="L58" s="107"/>
      <c r="M58" s="107"/>
      <c r="N58" s="107"/>
      <c r="O58" s="107"/>
      <c r="P58" s="107"/>
      <c r="Q58" s="107"/>
      <c r="R58" s="108"/>
      <c r="S58" s="83"/>
    </row>
    <row r="59" spans="3:19" ht="15" customHeight="1" x14ac:dyDescent="0.35">
      <c r="C59" s="109" t="s">
        <v>199</v>
      </c>
      <c r="D59" s="110"/>
      <c r="E59" s="110"/>
      <c r="F59" s="110"/>
      <c r="G59" s="110"/>
      <c r="H59" s="110"/>
      <c r="I59" s="110"/>
      <c r="J59" s="110"/>
      <c r="K59" s="110"/>
      <c r="L59" s="110"/>
      <c r="M59" s="110"/>
      <c r="N59" s="110"/>
      <c r="O59" s="110"/>
      <c r="P59" s="110"/>
      <c r="Q59" s="110"/>
      <c r="R59" s="108"/>
      <c r="S59" s="83"/>
    </row>
    <row r="60" spans="3:19" ht="15" customHeight="1" x14ac:dyDescent="0.35">
      <c r="C60" s="109" t="s">
        <v>200</v>
      </c>
      <c r="D60" s="107"/>
      <c r="E60" s="107"/>
      <c r="F60" s="107"/>
      <c r="G60" s="107"/>
      <c r="H60" s="107"/>
      <c r="I60" s="107"/>
      <c r="J60" s="107"/>
      <c r="K60" s="107"/>
      <c r="L60" s="107"/>
      <c r="M60" s="107"/>
      <c r="N60" s="107"/>
      <c r="O60" s="107"/>
      <c r="P60" s="107"/>
      <c r="Q60" s="107"/>
      <c r="R60" s="108"/>
      <c r="S60" s="83"/>
    </row>
    <row r="61" spans="3:19" ht="15" customHeight="1" x14ac:dyDescent="0.35">
      <c r="C61" s="109" t="s">
        <v>201</v>
      </c>
      <c r="D61" s="107"/>
      <c r="E61" s="107"/>
      <c r="F61" s="107"/>
      <c r="G61" s="107"/>
      <c r="H61" s="107"/>
      <c r="I61" s="107"/>
      <c r="J61" s="107"/>
      <c r="K61" s="107"/>
      <c r="L61" s="107"/>
      <c r="M61" s="107"/>
      <c r="N61" s="107"/>
      <c r="O61" s="107"/>
      <c r="P61" s="107"/>
      <c r="Q61" s="107"/>
      <c r="R61" s="108"/>
      <c r="S61" s="83"/>
    </row>
    <row r="62" spans="3:19" ht="15" customHeight="1" x14ac:dyDescent="0.35">
      <c r="C62" s="109" t="s">
        <v>202</v>
      </c>
      <c r="D62" s="107"/>
      <c r="E62" s="107"/>
      <c r="F62" s="107"/>
      <c r="G62" s="107"/>
      <c r="H62" s="107"/>
      <c r="I62" s="107"/>
      <c r="J62" s="107"/>
      <c r="K62" s="107"/>
      <c r="L62" s="107"/>
      <c r="M62" s="107"/>
      <c r="N62" s="107"/>
      <c r="O62" s="107"/>
      <c r="P62" s="107"/>
      <c r="Q62" s="107"/>
      <c r="R62" s="108"/>
      <c r="S62" s="83"/>
    </row>
    <row r="63" spans="3:19" ht="15" customHeight="1" x14ac:dyDescent="0.35">
      <c r="C63" s="109" t="s">
        <v>203</v>
      </c>
      <c r="D63" s="107"/>
      <c r="E63" s="107"/>
      <c r="F63" s="107"/>
      <c r="G63" s="107"/>
      <c r="H63" s="107"/>
      <c r="I63" s="107"/>
      <c r="J63" s="107"/>
      <c r="K63" s="107"/>
      <c r="L63" s="107"/>
      <c r="M63" s="107"/>
      <c r="N63" s="107"/>
      <c r="O63" s="107"/>
      <c r="P63" s="107"/>
      <c r="Q63" s="107"/>
      <c r="R63" s="108"/>
      <c r="S63" s="83"/>
    </row>
    <row r="64" spans="3:19" ht="15" customHeight="1" x14ac:dyDescent="0.35">
      <c r="C64" s="109" t="s">
        <v>204</v>
      </c>
      <c r="D64" s="111"/>
      <c r="E64" s="111"/>
      <c r="F64" s="111"/>
      <c r="G64" s="111"/>
      <c r="H64" s="111"/>
      <c r="I64" s="111"/>
      <c r="J64" s="111"/>
      <c r="K64" s="111"/>
      <c r="L64" s="111"/>
      <c r="M64" s="111"/>
      <c r="N64" s="111"/>
      <c r="O64" s="111"/>
      <c r="P64" s="111"/>
      <c r="Q64" s="111"/>
      <c r="R64" s="108"/>
      <c r="S64" s="83"/>
    </row>
    <row r="65" spans="3:19" ht="15" customHeight="1" x14ac:dyDescent="0.35">
      <c r="C65" s="109" t="s">
        <v>205</v>
      </c>
      <c r="D65" s="111"/>
      <c r="E65" s="111"/>
      <c r="F65" s="111"/>
      <c r="G65" s="111"/>
      <c r="H65" s="111"/>
      <c r="I65" s="111"/>
      <c r="J65" s="111"/>
      <c r="K65" s="111"/>
      <c r="L65" s="111"/>
      <c r="M65" s="111"/>
      <c r="N65" s="111"/>
      <c r="O65" s="111"/>
      <c r="P65" s="111"/>
      <c r="Q65" s="111"/>
      <c r="R65" s="108"/>
      <c r="S65" s="83"/>
    </row>
    <row r="66" spans="3:19" ht="15" customHeight="1" x14ac:dyDescent="0.35">
      <c r="C66" s="257" t="str">
        <f>'TREINAMENTO DE NR 11'!A24</f>
        <v>Treinamento para as máquinas: CAMINHÃO MUNCK, ROLO COMPACTADOR, ROLO CHAPA E PNEU, BOBCAT, ROLO PATA DE CARNEIRO, FRESADORA DE ASFALTICO, ESCAVADEIRA HIDRÁULICA RETROESCAVADEIRA E MOTONIVELADORA (PATROL).</v>
      </c>
      <c r="D66" s="257"/>
      <c r="E66" s="257"/>
      <c r="F66" s="257"/>
      <c r="G66" s="257"/>
      <c r="H66" s="257"/>
      <c r="I66" s="257"/>
      <c r="J66" s="257"/>
      <c r="K66" s="257"/>
      <c r="L66" s="257"/>
      <c r="M66" s="257"/>
      <c r="N66" s="257"/>
      <c r="O66" s="257"/>
      <c r="P66" s="257"/>
      <c r="Q66" s="257"/>
      <c r="R66" s="108"/>
      <c r="S66" s="83"/>
    </row>
    <row r="67" spans="3:19" x14ac:dyDescent="0.35">
      <c r="C67" s="112"/>
      <c r="D67" s="112"/>
      <c r="E67" s="112"/>
      <c r="F67" s="112"/>
      <c r="G67" s="112"/>
      <c r="H67" s="112"/>
      <c r="I67" s="112"/>
      <c r="J67" s="112"/>
      <c r="K67" s="112"/>
      <c r="L67" s="112"/>
      <c r="M67" s="112"/>
      <c r="N67" s="112"/>
      <c r="O67" s="113"/>
      <c r="P67" s="113"/>
      <c r="Q67" s="113"/>
      <c r="R67" s="113"/>
    </row>
    <row r="68" spans="3:19" ht="15.5" x14ac:dyDescent="0.35">
      <c r="C68" s="227" t="s">
        <v>455</v>
      </c>
      <c r="D68" s="227"/>
      <c r="E68" s="227"/>
      <c r="F68" s="227"/>
      <c r="G68" s="77"/>
      <c r="H68" s="77"/>
      <c r="I68" s="227" t="str">
        <f>'ORDEM DE SERVIÇO'!B39</f>
        <v>JOSE ANDRE DE SANTANA CRISPIM</v>
      </c>
      <c r="J68" s="227"/>
      <c r="K68" s="227"/>
      <c r="L68" s="227"/>
      <c r="M68" s="77"/>
      <c r="N68" s="77"/>
      <c r="O68" s="222"/>
      <c r="P68" s="222"/>
      <c r="Q68" s="222"/>
      <c r="R68" s="77"/>
    </row>
    <row r="69" spans="3:19" ht="15.5" x14ac:dyDescent="0.35">
      <c r="C69" s="228" t="s">
        <v>136</v>
      </c>
      <c r="D69" s="228"/>
      <c r="E69" s="228"/>
      <c r="F69" s="228"/>
      <c r="G69" s="77"/>
      <c r="H69" s="77"/>
      <c r="I69" s="228" t="str">
        <f>'ORDEM DE SERVIÇO'!B41</f>
        <v xml:space="preserve">AJUDANTE  DE OBRAS </v>
      </c>
      <c r="J69" s="228"/>
      <c r="K69" s="228"/>
      <c r="L69" s="228"/>
      <c r="M69" s="77"/>
      <c r="N69" s="77"/>
      <c r="O69" s="222"/>
      <c r="P69" s="222"/>
      <c r="Q69" s="222"/>
      <c r="R69" s="77"/>
    </row>
    <row r="70" spans="3:19" ht="15.5" x14ac:dyDescent="0.35">
      <c r="C70" s="228" t="s">
        <v>516</v>
      </c>
      <c r="D70" s="228"/>
      <c r="E70" s="228"/>
      <c r="F70" s="228"/>
      <c r="G70" s="77"/>
      <c r="H70" s="77"/>
      <c r="I70" s="77"/>
      <c r="J70" s="77"/>
      <c r="K70" s="77"/>
      <c r="L70" s="77"/>
      <c r="M70" s="77"/>
      <c r="N70" s="77"/>
      <c r="O70" s="105"/>
      <c r="P70" s="105"/>
      <c r="Q70" s="105"/>
      <c r="R70" s="77"/>
    </row>
    <row r="71" spans="3:19" x14ac:dyDescent="0.35">
      <c r="C71" s="228" t="s">
        <v>137</v>
      </c>
      <c r="D71" s="228"/>
      <c r="E71" s="228"/>
      <c r="F71" s="228"/>
    </row>
  </sheetData>
  <mergeCells count="39">
    <mergeCell ref="O31:Q31"/>
    <mergeCell ref="O32:Q32"/>
    <mergeCell ref="C40:Q42"/>
    <mergeCell ref="O68:Q68"/>
    <mergeCell ref="O69:Q69"/>
    <mergeCell ref="C68:F68"/>
    <mergeCell ref="C69:F69"/>
    <mergeCell ref="C29:G29"/>
    <mergeCell ref="I29:L29"/>
    <mergeCell ref="N29:Q29"/>
    <mergeCell ref="C30:G30"/>
    <mergeCell ref="I30:L30"/>
    <mergeCell ref="N30:Q30"/>
    <mergeCell ref="C14:G14"/>
    <mergeCell ref="H14:J14"/>
    <mergeCell ref="K14:L14"/>
    <mergeCell ref="M14:Q14"/>
    <mergeCell ref="C18:Q18"/>
    <mergeCell ref="C7:Q9"/>
    <mergeCell ref="C12:F12"/>
    <mergeCell ref="G12:L12"/>
    <mergeCell ref="M12:P12"/>
    <mergeCell ref="C13:Q13"/>
    <mergeCell ref="C70:F70"/>
    <mergeCell ref="C71:F71"/>
    <mergeCell ref="I68:L68"/>
    <mergeCell ref="I69:L69"/>
    <mergeCell ref="C15:Q17"/>
    <mergeCell ref="C66:Q66"/>
    <mergeCell ref="C23:E23"/>
    <mergeCell ref="F23:I23"/>
    <mergeCell ref="C19:Q19"/>
    <mergeCell ref="C20:Q20"/>
    <mergeCell ref="C27:G27"/>
    <mergeCell ref="I27:L27"/>
    <mergeCell ref="N27:Q27"/>
    <mergeCell ref="C28:G28"/>
    <mergeCell ref="I28:L28"/>
    <mergeCell ref="N28:Q28"/>
  </mergeCells>
  <pageMargins left="0.23622047244094491" right="0.23622047244094491" top="0.35433070866141736" bottom="0.35433070866141736" header="0.31496062992125984" footer="0.31496062992125984"/>
  <pageSetup paperSize="9" scale="96" orientation="landscape" r:id="rId1"/>
  <rowBreaks count="1" manualBreakCount="1">
    <brk id="32" max="16"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B1593-7FF6-45EB-A9AD-74E879BB31B4}">
  <dimension ref="A1:H49"/>
  <sheetViews>
    <sheetView zoomScale="98" zoomScaleNormal="98" workbookViewId="0">
      <selection activeCell="J12" sqref="J12"/>
    </sheetView>
  </sheetViews>
  <sheetFormatPr defaultRowHeight="14.5" x14ac:dyDescent="0.35"/>
  <cols>
    <col min="1" max="1" width="5.453125" customWidth="1"/>
    <col min="2" max="2" width="10.1796875" customWidth="1"/>
    <col min="3" max="3" width="16.90625" customWidth="1"/>
    <col min="4" max="4" width="20.81640625" customWidth="1"/>
    <col min="5" max="5" width="23.81640625" customWidth="1"/>
    <col min="6" max="6" width="18.36328125" customWidth="1"/>
  </cols>
  <sheetData>
    <row r="1" spans="1:6" ht="15" customHeight="1" x14ac:dyDescent="0.35">
      <c r="A1" s="212"/>
      <c r="B1" s="213"/>
      <c r="C1" s="216" t="s">
        <v>155</v>
      </c>
      <c r="D1" s="217"/>
      <c r="E1" s="217"/>
      <c r="F1" s="218"/>
    </row>
    <row r="2" spans="1:6" ht="33.75" customHeight="1" x14ac:dyDescent="0.35">
      <c r="A2" s="214"/>
      <c r="B2" s="215"/>
      <c r="C2" s="219" t="s">
        <v>165</v>
      </c>
      <c r="D2" s="220"/>
      <c r="E2" s="220"/>
      <c r="F2" s="221"/>
    </row>
    <row r="3" spans="1:6" x14ac:dyDescent="0.35">
      <c r="A3" s="189" t="s">
        <v>164</v>
      </c>
      <c r="B3" s="190"/>
      <c r="C3" s="191"/>
      <c r="D3" s="189" t="s">
        <v>159</v>
      </c>
      <c r="E3" s="191"/>
      <c r="F3" s="101" t="s">
        <v>162</v>
      </c>
    </row>
    <row r="4" spans="1:6" x14ac:dyDescent="0.35">
      <c r="A4" s="100" t="s">
        <v>602</v>
      </c>
      <c r="B4" s="100"/>
      <c r="C4" s="100"/>
      <c r="D4" s="210" t="s">
        <v>604</v>
      </c>
      <c r="E4" s="211"/>
      <c r="F4" s="75">
        <v>46252</v>
      </c>
    </row>
    <row r="5" spans="1:6" x14ac:dyDescent="0.35">
      <c r="A5" s="189" t="s">
        <v>158</v>
      </c>
      <c r="B5" s="190"/>
      <c r="C5" s="191"/>
      <c r="D5" s="189" t="s">
        <v>159</v>
      </c>
      <c r="E5" s="191"/>
      <c r="F5" s="101" t="s">
        <v>156</v>
      </c>
    </row>
    <row r="6" spans="1:6" x14ac:dyDescent="0.35">
      <c r="A6" s="192" t="s">
        <v>452</v>
      </c>
      <c r="B6" s="193"/>
      <c r="C6" s="194"/>
      <c r="D6" s="192" t="s">
        <v>161</v>
      </c>
      <c r="E6" s="194"/>
      <c r="F6" s="74" t="s">
        <v>634</v>
      </c>
    </row>
    <row r="7" spans="1:6" x14ac:dyDescent="0.35">
      <c r="A7" s="195" t="s">
        <v>160</v>
      </c>
      <c r="B7" s="195"/>
      <c r="C7" s="195"/>
      <c r="D7" s="195"/>
      <c r="E7" s="195"/>
      <c r="F7" s="195"/>
    </row>
    <row r="8" spans="1:6" ht="15" customHeight="1" x14ac:dyDescent="0.35">
      <c r="A8" s="196" t="s">
        <v>214</v>
      </c>
      <c r="B8" s="197"/>
      <c r="C8" s="197"/>
      <c r="D8" s="197"/>
      <c r="E8" s="197"/>
      <c r="F8" s="198"/>
    </row>
    <row r="9" spans="1:6" x14ac:dyDescent="0.35">
      <c r="A9" s="199"/>
      <c r="B9" s="200"/>
      <c r="C9" s="200"/>
      <c r="D9" s="200"/>
      <c r="E9" s="200"/>
      <c r="F9" s="201"/>
    </row>
    <row r="10" spans="1:6" x14ac:dyDescent="0.35">
      <c r="A10" s="199"/>
      <c r="B10" s="200"/>
      <c r="C10" s="200"/>
      <c r="D10" s="200"/>
      <c r="E10" s="200"/>
      <c r="F10" s="201"/>
    </row>
    <row r="11" spans="1:6" x14ac:dyDescent="0.35">
      <c r="A11" s="199"/>
      <c r="B11" s="200"/>
      <c r="C11" s="200"/>
      <c r="D11" s="200"/>
      <c r="E11" s="200"/>
      <c r="F11" s="201"/>
    </row>
    <row r="12" spans="1:6" x14ac:dyDescent="0.35">
      <c r="A12" s="199"/>
      <c r="B12" s="200"/>
      <c r="C12" s="200"/>
      <c r="D12" s="200"/>
      <c r="E12" s="200"/>
      <c r="F12" s="201"/>
    </row>
    <row r="13" spans="1:6" x14ac:dyDescent="0.35">
      <c r="A13" s="199"/>
      <c r="B13" s="200"/>
      <c r="C13" s="200"/>
      <c r="D13" s="200"/>
      <c r="E13" s="200"/>
      <c r="F13" s="201"/>
    </row>
    <row r="14" spans="1:6" x14ac:dyDescent="0.35">
      <c r="A14" s="199"/>
      <c r="B14" s="200"/>
      <c r="C14" s="200"/>
      <c r="D14" s="200"/>
      <c r="E14" s="200"/>
      <c r="F14" s="201"/>
    </row>
    <row r="15" spans="1:6" x14ac:dyDescent="0.35">
      <c r="A15" s="199"/>
      <c r="B15" s="200"/>
      <c r="C15" s="200"/>
      <c r="D15" s="200"/>
      <c r="E15" s="200"/>
      <c r="F15" s="201"/>
    </row>
    <row r="16" spans="1:6" x14ac:dyDescent="0.35">
      <c r="A16" s="199"/>
      <c r="B16" s="200"/>
      <c r="C16" s="200"/>
      <c r="D16" s="200"/>
      <c r="E16" s="200"/>
      <c r="F16" s="201"/>
    </row>
    <row r="17" spans="1:6" x14ac:dyDescent="0.35">
      <c r="A17" s="199"/>
      <c r="B17" s="200"/>
      <c r="C17" s="200"/>
      <c r="D17" s="200"/>
      <c r="E17" s="200"/>
      <c r="F17" s="201"/>
    </row>
    <row r="18" spans="1:6" x14ac:dyDescent="0.35">
      <c r="A18" s="199"/>
      <c r="B18" s="200"/>
      <c r="C18" s="200"/>
      <c r="D18" s="200"/>
      <c r="E18" s="200"/>
      <c r="F18" s="201"/>
    </row>
    <row r="19" spans="1:6" x14ac:dyDescent="0.35">
      <c r="A19" s="199"/>
      <c r="B19" s="200"/>
      <c r="C19" s="200"/>
      <c r="D19" s="200"/>
      <c r="E19" s="200"/>
      <c r="F19" s="201"/>
    </row>
    <row r="20" spans="1:6" x14ac:dyDescent="0.35">
      <c r="A20" s="199"/>
      <c r="B20" s="200"/>
      <c r="C20" s="200"/>
      <c r="D20" s="200"/>
      <c r="E20" s="200"/>
      <c r="F20" s="201"/>
    </row>
    <row r="21" spans="1:6" x14ac:dyDescent="0.35">
      <c r="A21" s="199"/>
      <c r="B21" s="200"/>
      <c r="C21" s="200"/>
      <c r="D21" s="200"/>
      <c r="E21" s="200"/>
      <c r="F21" s="201"/>
    </row>
    <row r="22" spans="1:6" x14ac:dyDescent="0.35">
      <c r="A22" s="199"/>
      <c r="B22" s="200"/>
      <c r="C22" s="200"/>
      <c r="D22" s="200"/>
      <c r="E22" s="200"/>
      <c r="F22" s="201"/>
    </row>
    <row r="23" spans="1:6" x14ac:dyDescent="0.35">
      <c r="A23" s="199"/>
      <c r="B23" s="200"/>
      <c r="C23" s="200"/>
      <c r="D23" s="200"/>
      <c r="E23" s="200"/>
      <c r="F23" s="201"/>
    </row>
    <row r="24" spans="1:6" x14ac:dyDescent="0.35">
      <c r="A24" s="199"/>
      <c r="B24" s="200"/>
      <c r="C24" s="200"/>
      <c r="D24" s="200"/>
      <c r="E24" s="200"/>
      <c r="F24" s="201"/>
    </row>
    <row r="25" spans="1:6" x14ac:dyDescent="0.35">
      <c r="A25" s="199"/>
      <c r="B25" s="200"/>
      <c r="C25" s="200"/>
      <c r="D25" s="200"/>
      <c r="E25" s="200"/>
      <c r="F25" s="201"/>
    </row>
    <row r="26" spans="1:6" x14ac:dyDescent="0.35">
      <c r="A26" s="199"/>
      <c r="B26" s="200"/>
      <c r="C26" s="200"/>
      <c r="D26" s="200"/>
      <c r="E26" s="200"/>
      <c r="F26" s="201"/>
    </row>
    <row r="27" spans="1:6" x14ac:dyDescent="0.35">
      <c r="A27" s="199"/>
      <c r="B27" s="200"/>
      <c r="C27" s="200"/>
      <c r="D27" s="200"/>
      <c r="E27" s="200"/>
      <c r="F27" s="201"/>
    </row>
    <row r="28" spans="1:6" x14ac:dyDescent="0.35">
      <c r="A28" s="199"/>
      <c r="B28" s="200"/>
      <c r="C28" s="200"/>
      <c r="D28" s="200"/>
      <c r="E28" s="200"/>
      <c r="F28" s="201"/>
    </row>
    <row r="29" spans="1:6" ht="6" customHeight="1" x14ac:dyDescent="0.35">
      <c r="A29" s="199"/>
      <c r="B29" s="200"/>
      <c r="C29" s="200"/>
      <c r="D29" s="200"/>
      <c r="E29" s="200"/>
      <c r="F29" s="201"/>
    </row>
    <row r="30" spans="1:6" x14ac:dyDescent="0.35">
      <c r="A30" s="263" t="s">
        <v>573</v>
      </c>
      <c r="B30" s="200"/>
      <c r="C30" s="200"/>
      <c r="D30" s="200"/>
      <c r="E30" s="200"/>
      <c r="F30" s="201"/>
    </row>
    <row r="31" spans="1:6" x14ac:dyDescent="0.35">
      <c r="A31" s="118"/>
      <c r="B31" s="119"/>
      <c r="C31" s="119"/>
      <c r="D31" s="119"/>
      <c r="E31" s="119"/>
      <c r="F31" s="120"/>
    </row>
    <row r="32" spans="1:6" x14ac:dyDescent="0.35">
      <c r="A32" s="121"/>
      <c r="B32" s="122"/>
      <c r="C32" s="122"/>
      <c r="D32" s="122"/>
      <c r="E32" s="122"/>
      <c r="F32" s="123"/>
    </row>
    <row r="34" spans="1:8" x14ac:dyDescent="0.35">
      <c r="A34" s="68" t="s">
        <v>116</v>
      </c>
      <c r="B34" s="68" t="s">
        <v>120</v>
      </c>
      <c r="C34" s="208" t="s">
        <v>117</v>
      </c>
      <c r="D34" s="208"/>
      <c r="E34" s="68" t="s">
        <v>118</v>
      </c>
      <c r="F34" s="68" t="s">
        <v>119</v>
      </c>
    </row>
    <row r="35" spans="1:8" x14ac:dyDescent="0.35">
      <c r="A35" s="67">
        <v>1</v>
      </c>
      <c r="B35" s="130">
        <v>548</v>
      </c>
      <c r="C35" s="209" t="str">
        <f>VLOOKUP(B35,'MATRIZ FUNCIONÁRIOS'!A:H,2,0)</f>
        <v xml:space="preserve">LUCIANO DA SILVA </v>
      </c>
      <c r="D35" s="209"/>
      <c r="E35" s="130" t="str">
        <f>VLOOKUP(B35,'MATRIZ FUNCIONÁRIOS'!A:H,3,0)</f>
        <v xml:space="preserve">AJUDANTE  DE OBRAS </v>
      </c>
      <c r="F35" s="132"/>
    </row>
    <row r="36" spans="1:8" x14ac:dyDescent="0.35">
      <c r="A36" s="67">
        <v>2</v>
      </c>
      <c r="B36" s="130"/>
      <c r="C36" s="209" t="e">
        <f>VLOOKUP(B36,'MATRIZ FUNCIONÁRIOS'!A:H,2,0)</f>
        <v>#N/A</v>
      </c>
      <c r="D36" s="209"/>
      <c r="E36" s="130" t="e">
        <f>VLOOKUP(B36,'MATRIZ FUNCIONÁRIOS'!A:H,3,0)</f>
        <v>#N/A</v>
      </c>
      <c r="F36" s="132"/>
    </row>
    <row r="37" spans="1:8" x14ac:dyDescent="0.35">
      <c r="A37" s="67">
        <v>3</v>
      </c>
      <c r="B37" s="130"/>
      <c r="C37" s="209" t="e">
        <f>VLOOKUP(B37,'MATRIZ FUNCIONÁRIOS'!A:H,2,0)</f>
        <v>#N/A</v>
      </c>
      <c r="D37" s="209"/>
      <c r="E37" s="130" t="e">
        <f>VLOOKUP(B37,'MATRIZ FUNCIONÁRIOS'!A:H,3,0)</f>
        <v>#N/A</v>
      </c>
      <c r="F37" s="132"/>
    </row>
    <row r="38" spans="1:8" x14ac:dyDescent="0.35">
      <c r="A38" s="67">
        <v>4</v>
      </c>
      <c r="B38" s="130"/>
      <c r="C38" s="209" t="e">
        <f>VLOOKUP(B38,'MATRIZ FUNCIONÁRIOS'!A:H,2,0)</f>
        <v>#N/A</v>
      </c>
      <c r="D38" s="209"/>
      <c r="E38" s="130" t="e">
        <f>VLOOKUP(B38,'MATRIZ FUNCIONÁRIOS'!A:H,3,0)</f>
        <v>#N/A</v>
      </c>
      <c r="F38" s="132"/>
    </row>
    <row r="39" spans="1:8" x14ac:dyDescent="0.35">
      <c r="A39" s="67">
        <v>5</v>
      </c>
      <c r="B39" s="130"/>
      <c r="C39" s="209" t="e">
        <f>VLOOKUP(B39,'MATRIZ FUNCIONÁRIOS'!A:H,2,0)</f>
        <v>#N/A</v>
      </c>
      <c r="D39" s="209"/>
      <c r="E39" s="130" t="e">
        <f>VLOOKUP(B39,'MATRIZ FUNCIONÁRIOS'!A:H,3,0)</f>
        <v>#N/A</v>
      </c>
      <c r="F39" s="132"/>
    </row>
    <row r="40" spans="1:8" x14ac:dyDescent="0.35">
      <c r="A40" s="67">
        <v>6</v>
      </c>
      <c r="B40" s="130"/>
      <c r="C40" s="209" t="e">
        <f>VLOOKUP(B40,'MATRIZ FUNCIONÁRIOS'!A:H,2,0)</f>
        <v>#N/A</v>
      </c>
      <c r="D40" s="209"/>
      <c r="E40" s="130" t="e">
        <f>VLOOKUP(B40,'MATRIZ FUNCIONÁRIOS'!A:H,3,0)</f>
        <v>#N/A</v>
      </c>
      <c r="F40" s="132"/>
    </row>
    <row r="41" spans="1:8" x14ac:dyDescent="0.35">
      <c r="A41" s="67">
        <v>7</v>
      </c>
      <c r="B41" s="130"/>
      <c r="C41" s="209" t="e">
        <f>VLOOKUP(B41,'MATRIZ FUNCIONÁRIOS'!A:H,2,0)</f>
        <v>#N/A</v>
      </c>
      <c r="D41" s="209"/>
      <c r="E41" s="130" t="e">
        <f>VLOOKUP(B41,'MATRIZ FUNCIONÁRIOS'!A:H,3,0)</f>
        <v>#N/A</v>
      </c>
      <c r="F41" s="132"/>
    </row>
    <row r="42" spans="1:8" x14ac:dyDescent="0.35">
      <c r="A42" s="67">
        <v>8</v>
      </c>
      <c r="B42" s="130"/>
      <c r="C42" s="209" t="e">
        <f>VLOOKUP(B42,'MATRIZ FUNCIONÁRIOS'!A:H,2,0)</f>
        <v>#N/A</v>
      </c>
      <c r="D42" s="209"/>
      <c r="E42" s="130" t="e">
        <f>VLOOKUP(B42,'MATRIZ FUNCIONÁRIOS'!A:H,3,0)</f>
        <v>#N/A</v>
      </c>
      <c r="F42" s="132"/>
    </row>
    <row r="43" spans="1:8" x14ac:dyDescent="0.35">
      <c r="A43" s="67">
        <v>9</v>
      </c>
      <c r="B43" s="46"/>
      <c r="C43" s="185" t="e">
        <f>VLOOKUP(B43,'MATRIZ FUNCIONÁRIOS'!A:H,2,0)</f>
        <v>#N/A</v>
      </c>
      <c r="D43" s="185"/>
      <c r="E43" s="46" t="e">
        <f>VLOOKUP(B43,'MATRIZ FUNCIONÁRIOS'!A:H,3,0)</f>
        <v>#N/A</v>
      </c>
      <c r="F43" s="69"/>
    </row>
    <row r="44" spans="1:8" x14ac:dyDescent="0.35">
      <c r="A44" s="67">
        <v>10</v>
      </c>
      <c r="B44" s="46"/>
      <c r="C44" s="185" t="e">
        <f>VLOOKUP(B44,'MATRIZ FUNCIONÁRIOS'!A:H,2,0)</f>
        <v>#N/A</v>
      </c>
      <c r="D44" s="186"/>
      <c r="E44" s="46" t="e">
        <f>VLOOKUP(B44,'MATRIZ FUNCIONÁRIOS'!A:H,3,0)</f>
        <v>#N/A</v>
      </c>
      <c r="F44" s="69"/>
    </row>
    <row r="45" spans="1:8" x14ac:dyDescent="0.35">
      <c r="A45" s="67">
        <v>11</v>
      </c>
      <c r="B45" s="46"/>
      <c r="C45" s="185" t="e">
        <f>VLOOKUP(B45,'MATRIZ FUNCIONÁRIOS'!A:H,2,0)</f>
        <v>#N/A</v>
      </c>
      <c r="D45" s="186"/>
      <c r="E45" s="46" t="e">
        <f>VLOOKUP(B45,'MATRIZ FUNCIONÁRIOS'!A:H,3,0)</f>
        <v>#N/A</v>
      </c>
      <c r="F45" s="69"/>
    </row>
    <row r="46" spans="1:8" ht="18" customHeight="1" x14ac:dyDescent="0.35">
      <c r="A46" s="187" t="s">
        <v>166</v>
      </c>
      <c r="B46" s="187"/>
      <c r="C46" s="187"/>
      <c r="D46" s="187"/>
      <c r="E46" s="188"/>
      <c r="F46" s="188"/>
      <c r="G46" s="102"/>
      <c r="H46" s="102"/>
    </row>
    <row r="47" spans="1:8" ht="15" customHeight="1" x14ac:dyDescent="0.35">
      <c r="A47" s="187"/>
      <c r="B47" s="187"/>
      <c r="C47" s="187"/>
      <c r="D47" s="187"/>
      <c r="E47" s="188"/>
      <c r="F47" s="188"/>
      <c r="G47" s="102"/>
      <c r="H47" s="102"/>
    </row>
    <row r="48" spans="1:8" x14ac:dyDescent="0.35">
      <c r="A48" s="187"/>
      <c r="B48" s="187"/>
      <c r="C48" s="187"/>
      <c r="D48" s="187"/>
      <c r="E48" s="188"/>
      <c r="F48" s="188"/>
    </row>
    <row r="49" spans="1:6" ht="15" customHeight="1" x14ac:dyDescent="0.35">
      <c r="A49" s="187"/>
      <c r="B49" s="187"/>
      <c r="C49" s="187"/>
      <c r="D49" s="187"/>
      <c r="E49" s="188"/>
      <c r="F49" s="188"/>
    </row>
  </sheetData>
  <mergeCells count="27">
    <mergeCell ref="D4:E4"/>
    <mergeCell ref="A8:F29"/>
    <mergeCell ref="A30:F30"/>
    <mergeCell ref="A1:B2"/>
    <mergeCell ref="C1:F1"/>
    <mergeCell ref="C2:F2"/>
    <mergeCell ref="A3:C3"/>
    <mergeCell ref="D3:E3"/>
    <mergeCell ref="C39:D39"/>
    <mergeCell ref="A5:C5"/>
    <mergeCell ref="D5:E5"/>
    <mergeCell ref="A6:C6"/>
    <mergeCell ref="D6:E6"/>
    <mergeCell ref="A7:F7"/>
    <mergeCell ref="C34:D34"/>
    <mergeCell ref="C35:D35"/>
    <mergeCell ref="C36:D36"/>
    <mergeCell ref="C37:D37"/>
    <mergeCell ref="C38:D38"/>
    <mergeCell ref="A46:D49"/>
    <mergeCell ref="E46:F49"/>
    <mergeCell ref="C40:D40"/>
    <mergeCell ref="C41:D41"/>
    <mergeCell ref="C42:D42"/>
    <mergeCell ref="C43:D43"/>
    <mergeCell ref="C44:D44"/>
    <mergeCell ref="C45:D45"/>
  </mergeCells>
  <pageMargins left="0.25" right="0.25" top="0.75" bottom="0.75" header="0.3" footer="0.3"/>
  <pageSetup paperSize="9" orientation="portrait"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373E6-8CF9-4386-86B6-542A959C822C}">
  <dimension ref="C7:AC68"/>
  <sheetViews>
    <sheetView tabSelected="1" topLeftCell="A7" zoomScale="70" zoomScaleNormal="70" workbookViewId="0">
      <selection activeCell="U17" sqref="U17"/>
    </sheetView>
  </sheetViews>
  <sheetFormatPr defaultRowHeight="14.5" x14ac:dyDescent="0.35"/>
  <cols>
    <col min="2" max="2" width="3.1796875" customWidth="1"/>
    <col min="4" max="4" width="7.81640625" customWidth="1"/>
    <col min="6" max="6" width="6" customWidth="1"/>
    <col min="7" max="7" width="11.1796875" customWidth="1"/>
    <col min="8" max="8" width="1.81640625" customWidth="1"/>
    <col min="9" max="10" width="10.1796875" customWidth="1"/>
    <col min="11" max="11" width="11.81640625" customWidth="1"/>
    <col min="12" max="12" width="8.1796875" customWidth="1"/>
    <col min="13" max="13" width="1.81640625" customWidth="1"/>
    <col min="14" max="15" width="9.1796875" customWidth="1"/>
    <col min="16" max="16" width="4.1796875" customWidth="1"/>
    <col min="17" max="17" width="24.1796875" customWidth="1"/>
  </cols>
  <sheetData>
    <row r="7" spans="3:29" x14ac:dyDescent="0.35">
      <c r="C7" s="232" t="s">
        <v>135</v>
      </c>
      <c r="D7" s="232"/>
      <c r="E7" s="232"/>
      <c r="F7" s="232"/>
      <c r="G7" s="232"/>
      <c r="H7" s="232"/>
      <c r="I7" s="232"/>
      <c r="J7" s="232"/>
      <c r="K7" s="232"/>
      <c r="L7" s="232"/>
      <c r="M7" s="232"/>
      <c r="N7" s="232"/>
      <c r="O7" s="232"/>
      <c r="P7" s="232"/>
      <c r="Q7" s="232"/>
    </row>
    <row r="8" spans="3:29" ht="20.25" customHeight="1" x14ac:dyDescent="0.35">
      <c r="C8" s="232"/>
      <c r="D8" s="232"/>
      <c r="E8" s="232"/>
      <c r="F8" s="232"/>
      <c r="G8" s="232"/>
      <c r="H8" s="232"/>
      <c r="I8" s="232"/>
      <c r="J8" s="232"/>
      <c r="K8" s="232"/>
      <c r="L8" s="232"/>
      <c r="M8" s="232"/>
      <c r="N8" s="232"/>
      <c r="O8" s="232"/>
      <c r="P8" s="232"/>
      <c r="Q8" s="232"/>
    </row>
    <row r="9" spans="3:29" ht="20.25" customHeight="1" x14ac:dyDescent="0.35">
      <c r="C9" s="232"/>
      <c r="D9" s="232"/>
      <c r="E9" s="232"/>
      <c r="F9" s="232"/>
      <c r="G9" s="232"/>
      <c r="H9" s="232"/>
      <c r="I9" s="232"/>
      <c r="J9" s="232"/>
      <c r="K9" s="232"/>
      <c r="L9" s="232"/>
      <c r="M9" s="232"/>
      <c r="N9" s="232"/>
      <c r="O9" s="232"/>
      <c r="P9" s="232"/>
      <c r="Q9" s="232"/>
    </row>
    <row r="10" spans="3:29" ht="20" x14ac:dyDescent="0.4">
      <c r="C10" s="80"/>
      <c r="D10" s="80"/>
      <c r="E10" s="80"/>
      <c r="F10" s="80"/>
      <c r="G10" s="80"/>
      <c r="H10" s="80"/>
      <c r="I10" s="80"/>
      <c r="J10" s="80"/>
      <c r="K10" s="80"/>
      <c r="L10" s="80"/>
      <c r="M10" s="80"/>
      <c r="N10" s="80"/>
      <c r="O10" s="80"/>
      <c r="P10" s="80"/>
      <c r="Q10" s="80"/>
      <c r="W10" s="80"/>
      <c r="X10" s="80"/>
      <c r="Y10" s="80"/>
      <c r="Z10" s="80"/>
      <c r="AA10" s="80"/>
      <c r="AB10" s="80"/>
      <c r="AC10" s="80"/>
    </row>
    <row r="11" spans="3:29" ht="20" x14ac:dyDescent="0.4">
      <c r="C11" s="80"/>
      <c r="D11" s="80"/>
      <c r="E11" s="80"/>
      <c r="F11" s="80"/>
      <c r="G11" s="80"/>
      <c r="H11" s="80"/>
      <c r="I11" s="80"/>
      <c r="J11" s="80"/>
      <c r="K11" s="80"/>
      <c r="L11" s="80"/>
      <c r="M11" s="80"/>
      <c r="N11" s="80"/>
      <c r="O11" s="80"/>
      <c r="P11" s="80"/>
      <c r="Q11" s="80"/>
      <c r="W11" s="80"/>
      <c r="X11" s="80"/>
      <c r="Y11" s="80"/>
      <c r="Z11" s="80"/>
      <c r="AA11" s="80"/>
      <c r="AB11" s="80"/>
      <c r="AC11" s="80"/>
    </row>
    <row r="12" spans="3:29" ht="20" x14ac:dyDescent="0.4">
      <c r="C12" s="233" t="s">
        <v>131</v>
      </c>
      <c r="D12" s="233"/>
      <c r="E12" s="233"/>
      <c r="F12" s="233"/>
      <c r="G12" s="264" t="str">
        <f>'ORDEM DE SERVIÇO'!B9</f>
        <v>JOSE ANDRE DE SANTANA CRISPIM</v>
      </c>
      <c r="H12" s="264"/>
      <c r="I12" s="264"/>
      <c r="J12" s="264"/>
      <c r="K12" s="264"/>
      <c r="L12" s="264"/>
      <c r="M12" s="231" t="s">
        <v>132</v>
      </c>
      <c r="N12" s="231"/>
      <c r="O12" s="231"/>
      <c r="P12" s="231"/>
      <c r="Q12" s="86">
        <f>'ORDEM DE SERVIÇO'!B40</f>
        <v>3140099</v>
      </c>
      <c r="W12" s="80"/>
      <c r="X12" s="80"/>
      <c r="Y12" s="80"/>
      <c r="Z12" s="80"/>
      <c r="AA12" s="80"/>
      <c r="AB12" s="80"/>
      <c r="AC12" s="80"/>
    </row>
    <row r="13" spans="3:29" ht="20" x14ac:dyDescent="0.4">
      <c r="C13" s="235" t="s">
        <v>183</v>
      </c>
      <c r="D13" s="235"/>
      <c r="E13" s="235"/>
      <c r="F13" s="235"/>
      <c r="G13" s="235"/>
      <c r="H13" s="235"/>
      <c r="I13" s="235"/>
      <c r="J13" s="235"/>
      <c r="K13" s="235"/>
      <c r="L13" s="235"/>
      <c r="M13" s="235"/>
      <c r="N13" s="235"/>
      <c r="O13" s="235"/>
      <c r="P13" s="235"/>
      <c r="Q13" s="235"/>
      <c r="W13" s="80"/>
      <c r="X13" s="80"/>
      <c r="Y13" s="80"/>
      <c r="Z13" s="80"/>
      <c r="AA13" s="80"/>
      <c r="AB13" s="80"/>
      <c r="AC13" s="80"/>
    </row>
    <row r="14" spans="3:29" ht="20" x14ac:dyDescent="0.4">
      <c r="C14" s="233" t="s">
        <v>184</v>
      </c>
      <c r="D14" s="233"/>
      <c r="E14" s="233"/>
      <c r="F14" s="233"/>
      <c r="G14" s="233"/>
      <c r="H14" s="236">
        <f>F21</f>
        <v>46252</v>
      </c>
      <c r="I14" s="231"/>
      <c r="J14" s="231"/>
      <c r="K14" s="231" t="s">
        <v>212</v>
      </c>
      <c r="L14" s="231"/>
      <c r="M14" s="231" t="str">
        <f>'ORDEM DE SERVIÇO'!D9</f>
        <v xml:space="preserve">AJUDANTE  DE OBRAS </v>
      </c>
      <c r="N14" s="231"/>
      <c r="O14" s="231"/>
      <c r="P14" s="231"/>
      <c r="Q14" s="231"/>
      <c r="W14" s="80"/>
      <c r="X14" s="80"/>
      <c r="Y14" s="80"/>
      <c r="Z14" s="80"/>
      <c r="AA14" s="80"/>
      <c r="AB14" s="80"/>
      <c r="AC14" s="80"/>
    </row>
    <row r="15" spans="3:29" ht="20" x14ac:dyDescent="0.4">
      <c r="C15" s="80" t="s">
        <v>213</v>
      </c>
      <c r="D15" s="80"/>
      <c r="E15" s="80"/>
      <c r="F15" s="258" t="s">
        <v>573</v>
      </c>
      <c r="G15" s="258"/>
      <c r="H15" s="258"/>
      <c r="I15" s="258"/>
      <c r="J15" s="258"/>
      <c r="K15" s="258"/>
      <c r="L15" s="258"/>
      <c r="M15" s="258"/>
      <c r="N15" s="258"/>
      <c r="O15" s="258"/>
      <c r="P15" s="258"/>
      <c r="Q15" s="258"/>
      <c r="W15" s="80"/>
      <c r="X15" s="80"/>
      <c r="Y15" s="80"/>
      <c r="Z15" s="80"/>
      <c r="AA15" s="80"/>
      <c r="AB15" s="80"/>
      <c r="AC15" s="80"/>
    </row>
    <row r="16" spans="3:29" ht="20" x14ac:dyDescent="0.4">
      <c r="C16" s="106" t="s">
        <v>605</v>
      </c>
      <c r="D16" s="106"/>
      <c r="E16" s="106"/>
      <c r="F16" s="106"/>
      <c r="G16" s="106"/>
      <c r="H16" s="106"/>
      <c r="I16" s="106"/>
      <c r="J16" s="106"/>
      <c r="K16" s="106"/>
      <c r="L16" s="106"/>
      <c r="M16" s="106"/>
      <c r="N16" s="106"/>
      <c r="O16" s="106"/>
      <c r="P16" s="106"/>
      <c r="Q16" s="106"/>
      <c r="W16" s="80"/>
      <c r="X16" s="80"/>
      <c r="Y16" s="80"/>
      <c r="Z16" s="80"/>
      <c r="AA16" s="80"/>
      <c r="AB16" s="80"/>
      <c r="AC16" s="80"/>
    </row>
    <row r="17" spans="3:29" ht="20" x14ac:dyDescent="0.4">
      <c r="C17" s="183" t="s">
        <v>606</v>
      </c>
      <c r="D17" s="106"/>
      <c r="E17" s="106"/>
      <c r="F17" s="106"/>
      <c r="G17" s="106"/>
      <c r="H17" s="106"/>
      <c r="I17" s="106"/>
      <c r="J17" s="106"/>
      <c r="K17" s="106"/>
      <c r="L17" s="106"/>
      <c r="M17" s="106"/>
      <c r="N17" s="106"/>
      <c r="O17" s="106"/>
      <c r="P17" s="106"/>
      <c r="Q17" s="106"/>
      <c r="W17" s="80"/>
      <c r="X17" s="80"/>
      <c r="Y17" s="80"/>
      <c r="Z17" s="80"/>
      <c r="AA17" s="80"/>
      <c r="AB17" s="80"/>
      <c r="AC17" s="80"/>
    </row>
    <row r="18" spans="3:29" ht="20" x14ac:dyDescent="0.4">
      <c r="C18" s="233" t="s">
        <v>633</v>
      </c>
      <c r="D18" s="233"/>
      <c r="E18" s="233"/>
      <c r="F18" s="233"/>
      <c r="G18" s="233"/>
      <c r="H18" s="233"/>
      <c r="I18" s="233"/>
      <c r="J18" s="233"/>
      <c r="K18" s="233"/>
      <c r="L18" s="233"/>
      <c r="M18" s="233"/>
      <c r="N18" s="233"/>
      <c r="O18" s="233"/>
      <c r="P18" s="233"/>
      <c r="Q18" s="233"/>
      <c r="W18" s="80"/>
      <c r="X18" s="80"/>
      <c r="Y18" s="80"/>
      <c r="Z18" s="80"/>
      <c r="AA18" s="80"/>
      <c r="AB18" s="80"/>
      <c r="AC18" s="80"/>
    </row>
    <row r="19" spans="3:29" ht="20" x14ac:dyDescent="0.4">
      <c r="W19" s="80"/>
      <c r="X19" s="80"/>
      <c r="Y19" s="80"/>
      <c r="Z19" s="80"/>
      <c r="AA19" s="80"/>
      <c r="AB19" s="80"/>
      <c r="AC19" s="80"/>
    </row>
    <row r="20" spans="3:29" ht="15" customHeight="1" x14ac:dyDescent="0.4">
      <c r="W20" s="80"/>
      <c r="X20" s="80"/>
      <c r="Y20" s="80"/>
      <c r="Z20" s="80"/>
      <c r="AA20" s="80"/>
      <c r="AB20" s="80"/>
      <c r="AC20" s="80"/>
    </row>
    <row r="21" spans="3:29" ht="20" x14ac:dyDescent="0.4">
      <c r="C21" s="238" t="s">
        <v>607</v>
      </c>
      <c r="D21" s="238"/>
      <c r="E21" s="238"/>
      <c r="F21" s="240">
        <v>46252</v>
      </c>
      <c r="G21" s="240"/>
      <c r="H21" s="240"/>
      <c r="I21" s="240"/>
      <c r="J21" s="80"/>
      <c r="K21" s="80"/>
      <c r="L21" s="80"/>
      <c r="M21" s="80"/>
      <c r="N21" s="80"/>
      <c r="O21" s="80"/>
      <c r="P21" s="80"/>
      <c r="Q21" s="80"/>
      <c r="W21" s="80"/>
      <c r="X21" s="80"/>
      <c r="Y21" s="80"/>
      <c r="Z21" s="80"/>
      <c r="AA21" s="80"/>
      <c r="AB21" s="80"/>
      <c r="AC21" s="80"/>
    </row>
    <row r="22" spans="3:29" ht="20" x14ac:dyDescent="0.4">
      <c r="W22" s="80"/>
      <c r="X22" s="80"/>
      <c r="Y22" s="80"/>
      <c r="Z22" s="80"/>
      <c r="AA22" s="80"/>
      <c r="AB22" s="80"/>
      <c r="AC22" s="80"/>
    </row>
    <row r="23" spans="3:29" ht="20" x14ac:dyDescent="0.4">
      <c r="C23" s="80"/>
      <c r="D23" s="80"/>
      <c r="E23" s="80"/>
      <c r="F23" s="80"/>
      <c r="G23" s="80"/>
      <c r="H23" s="80"/>
      <c r="I23" s="80"/>
      <c r="J23" s="80"/>
      <c r="K23" s="80"/>
      <c r="L23" s="80"/>
      <c r="M23" s="80"/>
      <c r="N23" s="80"/>
      <c r="O23" s="80"/>
      <c r="P23" s="80"/>
      <c r="Q23" s="80"/>
      <c r="W23" s="80"/>
      <c r="X23" s="80"/>
      <c r="Y23" s="80"/>
      <c r="Z23" s="80"/>
      <c r="AA23" s="80"/>
      <c r="AB23" s="80"/>
      <c r="AC23" s="80"/>
    </row>
    <row r="24" spans="3:29" ht="20" x14ac:dyDescent="0.4">
      <c r="C24" s="80"/>
      <c r="D24" s="80"/>
      <c r="E24" s="80"/>
      <c r="F24" s="80"/>
      <c r="G24" s="80"/>
      <c r="H24" s="80"/>
      <c r="I24" s="80"/>
      <c r="J24" s="80"/>
      <c r="K24" s="80"/>
      <c r="L24" s="80"/>
      <c r="M24" s="80"/>
      <c r="N24" s="80"/>
      <c r="O24" s="80"/>
      <c r="P24" s="80"/>
      <c r="Q24" s="80"/>
    </row>
    <row r="25" spans="3:29" ht="20" x14ac:dyDescent="0.4">
      <c r="C25" s="80"/>
      <c r="D25" s="80"/>
      <c r="E25" s="80"/>
      <c r="F25" s="80"/>
      <c r="G25" s="80"/>
      <c r="H25" s="80"/>
      <c r="I25" s="80"/>
      <c r="J25" s="80"/>
      <c r="K25" s="80"/>
      <c r="L25" s="80"/>
      <c r="M25" s="80"/>
      <c r="N25" s="80"/>
      <c r="O25" s="80"/>
      <c r="P25" s="80"/>
      <c r="Q25" s="80"/>
    </row>
    <row r="26" spans="3:29" x14ac:dyDescent="0.35">
      <c r="C26" s="227" t="s">
        <v>452</v>
      </c>
      <c r="D26" s="227"/>
      <c r="E26" s="227"/>
      <c r="F26" s="227"/>
      <c r="G26" s="227"/>
      <c r="H26" s="82"/>
      <c r="I26" s="227"/>
      <c r="J26" s="227"/>
      <c r="K26" s="227"/>
      <c r="L26" s="227"/>
      <c r="M26" s="82"/>
      <c r="N26" s="227" t="str">
        <f>'ORDEM DE SERVIÇO'!B39</f>
        <v>JOSE ANDRE DE SANTANA CRISPIM</v>
      </c>
      <c r="O26" s="227"/>
      <c r="P26" s="227"/>
      <c r="Q26" s="227"/>
    </row>
    <row r="27" spans="3:29" x14ac:dyDescent="0.35">
      <c r="C27" s="228" t="s">
        <v>206</v>
      </c>
      <c r="D27" s="228"/>
      <c r="E27" s="228"/>
      <c r="F27" s="228"/>
      <c r="G27" s="228"/>
      <c r="H27" s="82"/>
      <c r="I27" s="228"/>
      <c r="J27" s="228"/>
      <c r="K27" s="228"/>
      <c r="L27" s="228"/>
      <c r="M27" s="82"/>
      <c r="N27" s="228" t="str">
        <f>'ORDEM DE SERVIÇO'!B41</f>
        <v xml:space="preserve">AJUDANTE  DE OBRAS </v>
      </c>
      <c r="O27" s="228"/>
      <c r="P27" s="228"/>
      <c r="Q27" s="228"/>
    </row>
    <row r="28" spans="3:29" x14ac:dyDescent="0.35">
      <c r="C28" s="228" t="s">
        <v>514</v>
      </c>
      <c r="D28" s="228"/>
      <c r="E28" s="228"/>
      <c r="F28" s="228"/>
      <c r="G28" s="228"/>
      <c r="H28" s="82"/>
      <c r="I28" s="228"/>
      <c r="J28" s="228"/>
      <c r="K28" s="228"/>
      <c r="L28" s="228"/>
      <c r="M28" s="82"/>
      <c r="N28" s="228" t="s">
        <v>453</v>
      </c>
      <c r="O28" s="228"/>
      <c r="P28" s="228"/>
      <c r="Q28" s="228"/>
    </row>
    <row r="29" spans="3:29" ht="15.5" x14ac:dyDescent="0.35">
      <c r="C29" s="228"/>
      <c r="D29" s="228"/>
      <c r="E29" s="228"/>
      <c r="F29" s="228"/>
      <c r="G29" s="228"/>
      <c r="H29" s="83"/>
      <c r="I29" s="228"/>
      <c r="J29" s="228"/>
      <c r="K29" s="228"/>
      <c r="L29" s="228"/>
      <c r="M29" s="79"/>
      <c r="N29" s="79"/>
      <c r="O29" s="222"/>
      <c r="P29" s="222"/>
      <c r="Q29" s="222"/>
    </row>
    <row r="30" spans="3:29" ht="15.5" x14ac:dyDescent="0.35">
      <c r="C30" s="79"/>
      <c r="D30" s="79"/>
      <c r="E30" s="79"/>
      <c r="F30" s="79"/>
      <c r="G30" s="79"/>
      <c r="H30" s="79"/>
      <c r="I30" s="79"/>
      <c r="J30" s="79"/>
      <c r="K30" s="79"/>
      <c r="L30" s="79"/>
      <c r="M30" s="79"/>
      <c r="N30" s="79"/>
      <c r="O30" s="222"/>
      <c r="P30" s="222"/>
      <c r="Q30" s="222"/>
    </row>
    <row r="31" spans="3:29" ht="15.5" x14ac:dyDescent="0.35">
      <c r="C31" s="79"/>
      <c r="D31" s="79"/>
      <c r="E31" s="79"/>
      <c r="F31" s="79"/>
      <c r="G31" s="79"/>
      <c r="H31" s="79"/>
      <c r="I31" s="79"/>
      <c r="J31" s="79"/>
      <c r="K31" s="79"/>
      <c r="L31" s="79"/>
      <c r="M31" s="79"/>
      <c r="N31" s="79"/>
      <c r="O31" s="222"/>
      <c r="P31" s="222"/>
      <c r="Q31" s="222"/>
    </row>
    <row r="40" spans="3:19" ht="15" customHeight="1" x14ac:dyDescent="0.35">
      <c r="C40" s="223" t="s">
        <v>207</v>
      </c>
      <c r="D40" s="223"/>
      <c r="E40" s="223"/>
      <c r="F40" s="223"/>
      <c r="G40" s="223"/>
      <c r="H40" s="223"/>
      <c r="I40" s="223"/>
      <c r="J40" s="223"/>
      <c r="K40" s="223"/>
      <c r="L40" s="223"/>
      <c r="M40" s="223"/>
      <c r="N40" s="223"/>
      <c r="O40" s="223"/>
      <c r="P40" s="223"/>
      <c r="Q40" s="223"/>
      <c r="R40" s="81"/>
      <c r="S40" s="81"/>
    </row>
    <row r="41" spans="3:19" ht="15" customHeight="1" x14ac:dyDescent="0.35">
      <c r="C41" s="223"/>
      <c r="D41" s="223"/>
      <c r="E41" s="223"/>
      <c r="F41" s="223"/>
      <c r="G41" s="223"/>
      <c r="H41" s="223"/>
      <c r="I41" s="223"/>
      <c r="J41" s="223"/>
      <c r="K41" s="223"/>
      <c r="L41" s="223"/>
      <c r="M41" s="223"/>
      <c r="N41" s="223"/>
      <c r="O41" s="223"/>
      <c r="P41" s="223"/>
      <c r="Q41" s="223"/>
      <c r="R41" s="81"/>
      <c r="S41" s="81"/>
    </row>
    <row r="42" spans="3:19" ht="15" customHeight="1" x14ac:dyDescent="0.35">
      <c r="C42" s="223"/>
      <c r="D42" s="223"/>
      <c r="E42" s="223"/>
      <c r="F42" s="223"/>
      <c r="G42" s="223"/>
      <c r="H42" s="223"/>
      <c r="I42" s="223"/>
      <c r="J42" s="223"/>
      <c r="K42" s="223"/>
      <c r="L42" s="223"/>
      <c r="M42" s="223"/>
      <c r="N42" s="223"/>
      <c r="O42" s="223"/>
      <c r="P42" s="223"/>
      <c r="Q42" s="223"/>
      <c r="R42" s="81"/>
      <c r="S42" s="81"/>
    </row>
    <row r="46" spans="3:19" ht="15" customHeight="1" x14ac:dyDescent="0.35">
      <c r="C46" s="266" t="s">
        <v>186</v>
      </c>
      <c r="D46" s="266"/>
      <c r="E46" s="266"/>
      <c r="F46" s="266"/>
      <c r="G46" s="266"/>
      <c r="H46" s="266"/>
      <c r="I46" s="266"/>
      <c r="J46" s="266"/>
      <c r="K46" s="266"/>
      <c r="L46" s="266"/>
      <c r="M46" s="266"/>
      <c r="N46" s="266"/>
      <c r="O46" s="266"/>
      <c r="P46" s="266"/>
      <c r="Q46" s="266"/>
      <c r="R46" s="116"/>
      <c r="S46" s="83"/>
    </row>
    <row r="47" spans="3:19" ht="15" customHeight="1" x14ac:dyDescent="0.35">
      <c r="C47" s="265" t="s">
        <v>187</v>
      </c>
      <c r="D47" s="265"/>
      <c r="E47" s="265"/>
      <c r="F47" s="265"/>
      <c r="G47" s="265"/>
      <c r="H47" s="265"/>
      <c r="I47" s="265"/>
      <c r="J47" s="265"/>
      <c r="K47" s="265"/>
      <c r="L47" s="265"/>
      <c r="M47" s="265"/>
      <c r="N47" s="265"/>
      <c r="O47" s="265"/>
      <c r="P47" s="265"/>
      <c r="Q47" s="265"/>
      <c r="R47" s="108"/>
      <c r="S47" s="83"/>
    </row>
    <row r="48" spans="3:19" ht="15" customHeight="1" x14ac:dyDescent="0.35">
      <c r="C48" s="265" t="s">
        <v>188</v>
      </c>
      <c r="D48" s="265"/>
      <c r="E48" s="265"/>
      <c r="F48" s="265"/>
      <c r="G48" s="265"/>
      <c r="H48" s="265"/>
      <c r="I48" s="265"/>
      <c r="J48" s="265"/>
      <c r="K48" s="265"/>
      <c r="L48" s="265"/>
      <c r="M48" s="265"/>
      <c r="N48" s="265"/>
      <c r="O48" s="265"/>
      <c r="P48" s="265"/>
      <c r="Q48" s="265"/>
      <c r="R48" s="108"/>
      <c r="S48" s="83"/>
    </row>
    <row r="49" spans="3:19" ht="15" customHeight="1" x14ac:dyDescent="0.35">
      <c r="C49" s="265" t="s">
        <v>189</v>
      </c>
      <c r="D49" s="265"/>
      <c r="E49" s="265"/>
      <c r="F49" s="265"/>
      <c r="G49" s="265"/>
      <c r="H49" s="265"/>
      <c r="I49" s="265"/>
      <c r="J49" s="265"/>
      <c r="K49" s="265"/>
      <c r="L49" s="265"/>
      <c r="M49" s="265"/>
      <c r="N49" s="265"/>
      <c r="O49" s="265"/>
      <c r="P49" s="265"/>
      <c r="Q49" s="265"/>
      <c r="R49" s="108"/>
      <c r="S49" s="83"/>
    </row>
    <row r="50" spans="3:19" ht="15" customHeight="1" x14ac:dyDescent="0.35">
      <c r="C50" s="265" t="s">
        <v>209</v>
      </c>
      <c r="D50" s="265"/>
      <c r="E50" s="265"/>
      <c r="F50" s="265"/>
      <c r="G50" s="265"/>
      <c r="H50" s="265"/>
      <c r="I50" s="265"/>
      <c r="J50" s="265"/>
      <c r="K50" s="265"/>
      <c r="L50" s="265"/>
      <c r="M50" s="265"/>
      <c r="N50" s="265"/>
      <c r="O50" s="265"/>
      <c r="P50" s="265"/>
      <c r="Q50" s="265"/>
      <c r="R50" s="108"/>
      <c r="S50" s="83"/>
    </row>
    <row r="51" spans="3:19" ht="15" customHeight="1" x14ac:dyDescent="0.35">
      <c r="C51" s="265" t="s">
        <v>192</v>
      </c>
      <c r="D51" s="265"/>
      <c r="E51" s="265"/>
      <c r="F51" s="265"/>
      <c r="G51" s="265"/>
      <c r="H51" s="265"/>
      <c r="I51" s="265"/>
      <c r="J51" s="265"/>
      <c r="K51" s="265"/>
      <c r="L51" s="265"/>
      <c r="M51" s="265"/>
      <c r="N51" s="265"/>
      <c r="O51" s="265"/>
      <c r="P51" s="265"/>
      <c r="Q51" s="265"/>
      <c r="R51" s="108"/>
      <c r="S51" s="83"/>
    </row>
    <row r="52" spans="3:19" ht="15" customHeight="1" x14ac:dyDescent="0.35">
      <c r="C52" s="265" t="s">
        <v>193</v>
      </c>
      <c r="D52" s="265"/>
      <c r="E52" s="265"/>
      <c r="F52" s="265"/>
      <c r="G52" s="265"/>
      <c r="H52" s="265"/>
      <c r="I52" s="265"/>
      <c r="J52" s="265"/>
      <c r="K52" s="265"/>
      <c r="L52" s="265"/>
      <c r="M52" s="265"/>
      <c r="N52" s="265"/>
      <c r="O52" s="265"/>
      <c r="P52" s="265"/>
      <c r="Q52" s="265"/>
      <c r="R52" s="108"/>
      <c r="S52" s="83"/>
    </row>
    <row r="53" spans="3:19" ht="15" customHeight="1" x14ac:dyDescent="0.35">
      <c r="C53" s="265" t="s">
        <v>194</v>
      </c>
      <c r="D53" s="265"/>
      <c r="E53" s="265"/>
      <c r="F53" s="265"/>
      <c r="G53" s="265"/>
      <c r="H53" s="265"/>
      <c r="I53" s="265"/>
      <c r="J53" s="265"/>
      <c r="K53" s="265"/>
      <c r="L53" s="265"/>
      <c r="M53" s="265"/>
      <c r="N53" s="265"/>
      <c r="O53" s="265"/>
      <c r="P53" s="265"/>
      <c r="Q53" s="265"/>
      <c r="R53" s="108"/>
      <c r="S53" s="83"/>
    </row>
    <row r="54" spans="3:19" ht="15" customHeight="1" x14ac:dyDescent="0.35">
      <c r="C54" s="265" t="s">
        <v>195</v>
      </c>
      <c r="D54" s="265"/>
      <c r="E54" s="265"/>
      <c r="F54" s="265"/>
      <c r="G54" s="265"/>
      <c r="H54" s="265"/>
      <c r="I54" s="265"/>
      <c r="J54" s="265"/>
      <c r="K54" s="265"/>
      <c r="L54" s="265"/>
      <c r="M54" s="265"/>
      <c r="N54" s="265"/>
      <c r="O54" s="265"/>
      <c r="P54" s="265"/>
      <c r="Q54" s="265"/>
      <c r="R54" s="108"/>
      <c r="S54" s="83"/>
    </row>
    <row r="55" spans="3:19" ht="15" customHeight="1" x14ac:dyDescent="0.35">
      <c r="C55" s="265" t="s">
        <v>196</v>
      </c>
      <c r="D55" s="265"/>
      <c r="E55" s="265"/>
      <c r="F55" s="265"/>
      <c r="G55" s="265"/>
      <c r="H55" s="265"/>
      <c r="I55" s="265"/>
      <c r="J55" s="265"/>
      <c r="K55" s="265"/>
      <c r="L55" s="265"/>
      <c r="M55" s="265"/>
      <c r="N55" s="265"/>
      <c r="O55" s="265"/>
      <c r="P55" s="265"/>
      <c r="Q55" s="265"/>
      <c r="R55" s="108"/>
      <c r="S55" s="83"/>
    </row>
    <row r="56" spans="3:19" ht="15" customHeight="1" x14ac:dyDescent="0.35">
      <c r="D56" s="107"/>
      <c r="E56" s="107"/>
      <c r="F56" s="107"/>
      <c r="G56" s="107"/>
      <c r="H56" s="107"/>
      <c r="I56" s="107"/>
      <c r="J56" s="107"/>
      <c r="K56" s="107"/>
      <c r="L56" s="107"/>
      <c r="M56" s="107"/>
      <c r="N56" s="107"/>
      <c r="O56" s="107"/>
      <c r="P56" s="107"/>
      <c r="Q56" s="107"/>
      <c r="R56" s="108"/>
      <c r="S56" s="83"/>
    </row>
    <row r="57" spans="3:19" ht="15" customHeight="1" x14ac:dyDescent="0.35">
      <c r="C57" s="114" t="s">
        <v>197</v>
      </c>
      <c r="D57" s="115"/>
      <c r="E57" s="115"/>
      <c r="F57" s="115"/>
      <c r="G57" s="115"/>
      <c r="H57" s="115"/>
      <c r="I57" s="115"/>
      <c r="J57" s="115"/>
      <c r="K57" s="115"/>
      <c r="L57" s="115"/>
      <c r="M57" s="115"/>
      <c r="N57" s="115"/>
      <c r="O57" s="115"/>
      <c r="P57" s="115"/>
      <c r="Q57" s="115"/>
      <c r="R57" s="116"/>
      <c r="S57" s="83"/>
    </row>
    <row r="58" spans="3:19" ht="15" customHeight="1" x14ac:dyDescent="0.35">
      <c r="C58" s="265" t="s">
        <v>198</v>
      </c>
      <c r="D58" s="265"/>
      <c r="E58" s="265"/>
      <c r="F58" s="265"/>
      <c r="G58" s="265"/>
      <c r="H58" s="265"/>
      <c r="I58" s="265"/>
      <c r="J58" s="265"/>
      <c r="K58" s="265"/>
      <c r="L58" s="265"/>
      <c r="M58" s="265"/>
      <c r="N58" s="265"/>
      <c r="O58" s="265"/>
      <c r="P58" s="265"/>
      <c r="Q58" s="265"/>
      <c r="R58" s="108"/>
      <c r="S58" s="83"/>
    </row>
    <row r="59" spans="3:19" ht="15" customHeight="1" x14ac:dyDescent="0.35">
      <c r="C59" s="265" t="s">
        <v>199</v>
      </c>
      <c r="D59" s="265"/>
      <c r="E59" s="265"/>
      <c r="F59" s="265"/>
      <c r="G59" s="265"/>
      <c r="H59" s="265"/>
      <c r="I59" s="265"/>
      <c r="J59" s="265"/>
      <c r="K59" s="265"/>
      <c r="L59" s="265"/>
      <c r="M59" s="265"/>
      <c r="N59" s="265"/>
      <c r="O59" s="265"/>
      <c r="P59" s="265"/>
      <c r="Q59" s="265"/>
      <c r="R59" s="108"/>
      <c r="S59" s="83"/>
    </row>
    <row r="60" spans="3:19" ht="15" customHeight="1" x14ac:dyDescent="0.35">
      <c r="C60" s="265" t="s">
        <v>200</v>
      </c>
      <c r="D60" s="265"/>
      <c r="E60" s="265"/>
      <c r="F60" s="265"/>
      <c r="G60" s="265"/>
      <c r="H60" s="265"/>
      <c r="I60" s="265"/>
      <c r="J60" s="265"/>
      <c r="K60" s="265"/>
      <c r="L60" s="265"/>
      <c r="M60" s="265"/>
      <c r="N60" s="265"/>
      <c r="O60" s="265"/>
      <c r="P60" s="265"/>
      <c r="Q60" s="265"/>
      <c r="R60" s="108"/>
      <c r="S60" s="83"/>
    </row>
    <row r="61" spans="3:19" ht="15" customHeight="1" x14ac:dyDescent="0.35">
      <c r="C61" s="265" t="s">
        <v>201</v>
      </c>
      <c r="D61" s="265"/>
      <c r="E61" s="265"/>
      <c r="F61" s="265"/>
      <c r="G61" s="265"/>
      <c r="H61" s="265"/>
      <c r="I61" s="265"/>
      <c r="J61" s="265"/>
      <c r="K61" s="265"/>
      <c r="L61" s="265"/>
      <c r="M61" s="265"/>
      <c r="N61" s="265"/>
      <c r="O61" s="265"/>
      <c r="P61" s="265"/>
      <c r="Q61" s="265"/>
      <c r="R61" s="108"/>
      <c r="S61" s="83"/>
    </row>
    <row r="62" spans="3:19" ht="15" customHeight="1" x14ac:dyDescent="0.35">
      <c r="C62" s="265" t="s">
        <v>202</v>
      </c>
      <c r="D62" s="265"/>
      <c r="E62" s="265"/>
      <c r="F62" s="265"/>
      <c r="G62" s="265"/>
      <c r="H62" s="265"/>
      <c r="I62" s="265"/>
      <c r="J62" s="265"/>
      <c r="K62" s="265"/>
      <c r="L62" s="265"/>
      <c r="M62" s="265"/>
      <c r="N62" s="265"/>
      <c r="O62" s="265"/>
      <c r="P62" s="265"/>
      <c r="Q62" s="265"/>
      <c r="R62" s="108"/>
      <c r="S62" s="83"/>
    </row>
    <row r="63" spans="3:19" ht="15" customHeight="1" x14ac:dyDescent="0.35">
      <c r="C63" s="265" t="s">
        <v>203</v>
      </c>
      <c r="D63" s="265"/>
      <c r="E63" s="265"/>
      <c r="F63" s="265"/>
      <c r="G63" s="265"/>
      <c r="H63" s="265"/>
      <c r="I63" s="265"/>
      <c r="J63" s="265"/>
      <c r="K63" s="265"/>
      <c r="L63" s="265"/>
      <c r="M63" s="265"/>
      <c r="N63" s="265"/>
      <c r="O63" s="265"/>
      <c r="P63" s="265"/>
      <c r="Q63" s="265"/>
      <c r="R63" s="108"/>
      <c r="S63" s="83"/>
    </row>
    <row r="64" spans="3:19" ht="15" customHeight="1" x14ac:dyDescent="0.35">
      <c r="C64" s="265" t="s">
        <v>204</v>
      </c>
      <c r="D64" s="265"/>
      <c r="E64" s="265"/>
      <c r="F64" s="265"/>
      <c r="G64" s="265"/>
      <c r="H64" s="265"/>
      <c r="I64" s="265"/>
      <c r="J64" s="265"/>
      <c r="K64" s="265"/>
      <c r="L64" s="265"/>
      <c r="M64" s="265"/>
      <c r="N64" s="265"/>
      <c r="O64" s="265"/>
      <c r="P64" s="265"/>
      <c r="Q64" s="265"/>
      <c r="R64" s="108"/>
      <c r="S64" s="83"/>
    </row>
    <row r="65" spans="3:19" ht="15" customHeight="1" x14ac:dyDescent="0.35">
      <c r="C65" s="265" t="s">
        <v>205</v>
      </c>
      <c r="D65" s="265"/>
      <c r="E65" s="265"/>
      <c r="F65" s="265"/>
      <c r="G65" s="265"/>
      <c r="H65" s="265"/>
      <c r="I65" s="265"/>
      <c r="J65" s="265"/>
      <c r="K65" s="265"/>
      <c r="L65" s="265"/>
      <c r="M65" s="265"/>
      <c r="N65" s="265"/>
      <c r="O65" s="265"/>
      <c r="P65" s="265"/>
      <c r="Q65" s="265"/>
      <c r="R65" s="108"/>
      <c r="S65" s="83"/>
    </row>
    <row r="66" spans="3:19" ht="15" customHeight="1" x14ac:dyDescent="0.35">
      <c r="C66" s="265" t="s">
        <v>208</v>
      </c>
      <c r="D66" s="265"/>
      <c r="E66" s="265"/>
      <c r="F66" s="265"/>
      <c r="G66" s="265"/>
      <c r="H66" s="265" t="str">
        <f>F15</f>
        <v>SERRA CIRCULAR, MAKITA, FERRAMENTAS ELÉTRICAS E DIVERSAS</v>
      </c>
      <c r="I66" s="265"/>
      <c r="J66" s="265"/>
      <c r="K66" s="265"/>
      <c r="L66" s="265"/>
      <c r="M66" s="265"/>
      <c r="N66" s="265"/>
      <c r="O66" s="265"/>
      <c r="P66" s="265"/>
      <c r="Q66" s="265"/>
      <c r="R66" s="108"/>
      <c r="S66" s="83"/>
    </row>
    <row r="67" spans="3:19" ht="15.5" x14ac:dyDescent="0.35">
      <c r="C67" s="77"/>
      <c r="D67" s="77"/>
      <c r="E67" s="77"/>
      <c r="F67" s="77"/>
      <c r="G67" s="77"/>
      <c r="H67" s="77"/>
      <c r="I67" s="77"/>
      <c r="J67" s="77"/>
      <c r="K67" s="77"/>
      <c r="L67" s="77"/>
      <c r="M67" s="77"/>
      <c r="N67" s="77"/>
      <c r="O67" s="222"/>
      <c r="P67" s="222"/>
      <c r="Q67" s="222"/>
      <c r="R67" s="77"/>
    </row>
    <row r="68" spans="3:19" ht="15.5" x14ac:dyDescent="0.35">
      <c r="C68" s="77"/>
      <c r="D68" s="77"/>
      <c r="E68" s="77"/>
      <c r="F68" s="77"/>
      <c r="G68" s="77"/>
      <c r="H68" s="77"/>
      <c r="I68" s="77"/>
      <c r="J68" s="77"/>
      <c r="K68" s="77"/>
      <c r="L68" s="77"/>
      <c r="M68" s="77"/>
      <c r="N68" s="77"/>
      <c r="O68" s="222"/>
      <c r="P68" s="222"/>
      <c r="Q68" s="222"/>
      <c r="R68" s="77"/>
    </row>
  </sheetData>
  <mergeCells count="50">
    <mergeCell ref="C60:Q60"/>
    <mergeCell ref="C61:Q61"/>
    <mergeCell ref="C62:Q62"/>
    <mergeCell ref="C49:Q49"/>
    <mergeCell ref="C50:Q50"/>
    <mergeCell ref="C51:Q51"/>
    <mergeCell ref="C52:Q52"/>
    <mergeCell ref="C53:Q53"/>
    <mergeCell ref="C54:Q54"/>
    <mergeCell ref="O30:Q30"/>
    <mergeCell ref="O31:Q31"/>
    <mergeCell ref="C40:Q42"/>
    <mergeCell ref="O67:Q67"/>
    <mergeCell ref="O68:Q68"/>
    <mergeCell ref="C66:G66"/>
    <mergeCell ref="H66:Q66"/>
    <mergeCell ref="C46:Q46"/>
    <mergeCell ref="C47:Q47"/>
    <mergeCell ref="C48:Q48"/>
    <mergeCell ref="C63:Q63"/>
    <mergeCell ref="C64:Q64"/>
    <mergeCell ref="C65:Q65"/>
    <mergeCell ref="C55:Q55"/>
    <mergeCell ref="C58:Q58"/>
    <mergeCell ref="C59:Q59"/>
    <mergeCell ref="C28:G28"/>
    <mergeCell ref="I28:L28"/>
    <mergeCell ref="N28:Q28"/>
    <mergeCell ref="C29:G29"/>
    <mergeCell ref="I29:L29"/>
    <mergeCell ref="O29:Q29"/>
    <mergeCell ref="C26:G26"/>
    <mergeCell ref="I26:L26"/>
    <mergeCell ref="N26:Q26"/>
    <mergeCell ref="C27:G27"/>
    <mergeCell ref="I27:L27"/>
    <mergeCell ref="N27:Q27"/>
    <mergeCell ref="C18:Q18"/>
    <mergeCell ref="C21:E21"/>
    <mergeCell ref="F21:I21"/>
    <mergeCell ref="C7:Q9"/>
    <mergeCell ref="C12:F12"/>
    <mergeCell ref="G12:L12"/>
    <mergeCell ref="M12:P12"/>
    <mergeCell ref="C13:Q13"/>
    <mergeCell ref="C14:G14"/>
    <mergeCell ref="H14:J14"/>
    <mergeCell ref="K14:L14"/>
    <mergeCell ref="M14:Q14"/>
    <mergeCell ref="F15:Q15"/>
  </mergeCells>
  <pageMargins left="0.23622047244094491" right="0.23622047244094491" top="0.35433070866141736" bottom="0.35433070866141736" header="0.31496062992125984" footer="0.31496062992125984"/>
  <pageSetup paperSize="9" scale="97" orientation="landscape" horizontalDpi="360"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CC9A-CD55-4A93-BB9D-0BD466A56DC2}">
  <dimension ref="A1:H47"/>
  <sheetViews>
    <sheetView zoomScale="98" zoomScaleNormal="98" workbookViewId="0">
      <selection activeCell="J20" sqref="J20"/>
    </sheetView>
  </sheetViews>
  <sheetFormatPr defaultRowHeight="14.5" x14ac:dyDescent="0.35"/>
  <cols>
    <col min="1" max="1" width="5.453125" customWidth="1"/>
    <col min="2" max="2" width="9.54296875" customWidth="1"/>
    <col min="3" max="3" width="17.6328125" customWidth="1"/>
    <col min="4" max="4" width="19.453125" customWidth="1"/>
    <col min="5" max="5" width="26" customWidth="1"/>
    <col min="6" max="6" width="25.81640625" bestFit="1" customWidth="1"/>
  </cols>
  <sheetData>
    <row r="1" spans="1:6" ht="15" customHeight="1" x14ac:dyDescent="0.35">
      <c r="A1" s="212"/>
      <c r="B1" s="213"/>
      <c r="C1" s="216" t="s">
        <v>155</v>
      </c>
      <c r="D1" s="217"/>
      <c r="E1" s="217"/>
      <c r="F1" s="218"/>
    </row>
    <row r="2" spans="1:6" ht="33.75" customHeight="1" x14ac:dyDescent="0.35">
      <c r="A2" s="214"/>
      <c r="B2" s="215"/>
      <c r="C2" s="219" t="s">
        <v>165</v>
      </c>
      <c r="D2" s="220"/>
      <c r="E2" s="220"/>
      <c r="F2" s="221"/>
    </row>
    <row r="3" spans="1:6" x14ac:dyDescent="0.35">
      <c r="A3" s="189" t="s">
        <v>164</v>
      </c>
      <c r="B3" s="190"/>
      <c r="C3" s="191"/>
      <c r="D3" s="189"/>
      <c r="E3" s="191"/>
      <c r="F3" s="101" t="s">
        <v>162</v>
      </c>
    </row>
    <row r="4" spans="1:6" x14ac:dyDescent="0.35">
      <c r="A4" s="100" t="s">
        <v>602</v>
      </c>
      <c r="B4" s="100"/>
      <c r="C4" s="100"/>
      <c r="D4" s="249"/>
      <c r="E4" s="250"/>
      <c r="F4" s="75">
        <v>45769</v>
      </c>
    </row>
    <row r="5" spans="1:6" x14ac:dyDescent="0.35">
      <c r="A5" s="189" t="s">
        <v>158</v>
      </c>
      <c r="B5" s="190"/>
      <c r="C5" s="191"/>
      <c r="D5" s="189" t="s">
        <v>159</v>
      </c>
      <c r="E5" s="191"/>
      <c r="F5" s="101" t="s">
        <v>156</v>
      </c>
    </row>
    <row r="6" spans="1:6" x14ac:dyDescent="0.35">
      <c r="A6" s="192" t="s">
        <v>452</v>
      </c>
      <c r="B6" s="193"/>
      <c r="C6" s="194"/>
      <c r="D6" s="192" t="s">
        <v>616</v>
      </c>
      <c r="E6" s="194"/>
      <c r="F6" s="74" t="s">
        <v>471</v>
      </c>
    </row>
    <row r="7" spans="1:6" x14ac:dyDescent="0.35">
      <c r="A7" s="195" t="s">
        <v>160</v>
      </c>
      <c r="B7" s="195"/>
      <c r="C7" s="195"/>
      <c r="D7" s="195"/>
      <c r="E7" s="195"/>
      <c r="F7" s="195"/>
    </row>
    <row r="8" spans="1:6" ht="15" customHeight="1" x14ac:dyDescent="0.35">
      <c r="A8" s="196" t="s">
        <v>220</v>
      </c>
      <c r="B8" s="197"/>
      <c r="C8" s="197"/>
      <c r="D8" s="197"/>
      <c r="E8" s="197"/>
      <c r="F8" s="198"/>
    </row>
    <row r="9" spans="1:6" x14ac:dyDescent="0.35">
      <c r="A9" s="199"/>
      <c r="B9" s="200"/>
      <c r="C9" s="200"/>
      <c r="D9" s="200"/>
      <c r="E9" s="200"/>
      <c r="F9" s="201"/>
    </row>
    <row r="10" spans="1:6" x14ac:dyDescent="0.35">
      <c r="A10" s="199"/>
      <c r="B10" s="200"/>
      <c r="C10" s="200"/>
      <c r="D10" s="200"/>
      <c r="E10" s="200"/>
      <c r="F10" s="201"/>
    </row>
    <row r="11" spans="1:6" x14ac:dyDescent="0.35">
      <c r="A11" s="199"/>
      <c r="B11" s="200"/>
      <c r="C11" s="200"/>
      <c r="D11" s="200"/>
      <c r="E11" s="200"/>
      <c r="F11" s="201"/>
    </row>
    <row r="12" spans="1:6" x14ac:dyDescent="0.35">
      <c r="A12" s="199"/>
      <c r="B12" s="200"/>
      <c r="C12" s="200"/>
      <c r="D12" s="200"/>
      <c r="E12" s="200"/>
      <c r="F12" s="201"/>
    </row>
    <row r="13" spans="1:6" x14ac:dyDescent="0.35">
      <c r="A13" s="199"/>
      <c r="B13" s="200"/>
      <c r="C13" s="200"/>
      <c r="D13" s="200"/>
      <c r="E13" s="200"/>
      <c r="F13" s="201"/>
    </row>
    <row r="14" spans="1:6" x14ac:dyDescent="0.35">
      <c r="A14" s="199"/>
      <c r="B14" s="200"/>
      <c r="C14" s="200"/>
      <c r="D14" s="200"/>
      <c r="E14" s="200"/>
      <c r="F14" s="201"/>
    </row>
    <row r="15" spans="1:6" x14ac:dyDescent="0.35">
      <c r="A15" s="199"/>
      <c r="B15" s="200"/>
      <c r="C15" s="200"/>
      <c r="D15" s="200"/>
      <c r="E15" s="200"/>
      <c r="F15" s="201"/>
    </row>
    <row r="16" spans="1:6" x14ac:dyDescent="0.35">
      <c r="A16" s="199"/>
      <c r="B16" s="200"/>
      <c r="C16" s="200"/>
      <c r="D16" s="200"/>
      <c r="E16" s="200"/>
      <c r="F16" s="201"/>
    </row>
    <row r="17" spans="1:6" x14ac:dyDescent="0.35">
      <c r="A17" s="199"/>
      <c r="B17" s="200"/>
      <c r="C17" s="200"/>
      <c r="D17" s="200"/>
      <c r="E17" s="200"/>
      <c r="F17" s="201"/>
    </row>
    <row r="18" spans="1:6" x14ac:dyDescent="0.35">
      <c r="A18" s="199"/>
      <c r="B18" s="200"/>
      <c r="C18" s="200"/>
      <c r="D18" s="200"/>
      <c r="E18" s="200"/>
      <c r="F18" s="201"/>
    </row>
    <row r="19" spans="1:6" x14ac:dyDescent="0.35">
      <c r="A19" s="199"/>
      <c r="B19" s="200"/>
      <c r="C19" s="200"/>
      <c r="D19" s="200"/>
      <c r="E19" s="200"/>
      <c r="F19" s="201"/>
    </row>
    <row r="20" spans="1:6" x14ac:dyDescent="0.35">
      <c r="A20" s="199"/>
      <c r="B20" s="200"/>
      <c r="C20" s="200"/>
      <c r="D20" s="200"/>
      <c r="E20" s="200"/>
      <c r="F20" s="201"/>
    </row>
    <row r="21" spans="1:6" x14ac:dyDescent="0.35">
      <c r="A21" s="199"/>
      <c r="B21" s="200"/>
      <c r="C21" s="200"/>
      <c r="D21" s="200"/>
      <c r="E21" s="200"/>
      <c r="F21" s="201"/>
    </row>
    <row r="22" spans="1:6" x14ac:dyDescent="0.35">
      <c r="A22" s="199"/>
      <c r="B22" s="200"/>
      <c r="C22" s="200"/>
      <c r="D22" s="200"/>
      <c r="E22" s="200"/>
      <c r="F22" s="201"/>
    </row>
    <row r="23" spans="1:6" x14ac:dyDescent="0.35">
      <c r="A23" s="199"/>
      <c r="B23" s="200"/>
      <c r="C23" s="200"/>
      <c r="D23" s="200"/>
      <c r="E23" s="200"/>
      <c r="F23" s="201"/>
    </row>
    <row r="24" spans="1:6" x14ac:dyDescent="0.35">
      <c r="A24" s="199"/>
      <c r="B24" s="200"/>
      <c r="C24" s="200"/>
      <c r="D24" s="200"/>
      <c r="E24" s="200"/>
      <c r="F24" s="201"/>
    </row>
    <row r="25" spans="1:6" x14ac:dyDescent="0.35">
      <c r="A25" s="199"/>
      <c r="B25" s="200"/>
      <c r="C25" s="200"/>
      <c r="D25" s="200"/>
      <c r="E25" s="200"/>
      <c r="F25" s="201"/>
    </row>
    <row r="26" spans="1:6" x14ac:dyDescent="0.35">
      <c r="A26" s="199"/>
      <c r="B26" s="200"/>
      <c r="C26" s="200"/>
      <c r="D26" s="200"/>
      <c r="E26" s="200"/>
      <c r="F26" s="201"/>
    </row>
    <row r="27" spans="1:6" x14ac:dyDescent="0.35">
      <c r="A27" s="199"/>
      <c r="B27" s="200"/>
      <c r="C27" s="200"/>
      <c r="D27" s="200"/>
      <c r="E27" s="200"/>
      <c r="F27" s="201"/>
    </row>
    <row r="28" spans="1:6" ht="12.75" customHeight="1" x14ac:dyDescent="0.35">
      <c r="A28" s="199"/>
      <c r="B28" s="200"/>
      <c r="C28" s="200"/>
      <c r="D28" s="200"/>
      <c r="E28" s="200"/>
      <c r="F28" s="201"/>
    </row>
    <row r="29" spans="1:6" x14ac:dyDescent="0.35">
      <c r="A29" s="199" t="s">
        <v>323</v>
      </c>
      <c r="B29" s="200"/>
      <c r="C29" s="200"/>
      <c r="D29" s="200"/>
      <c r="E29" s="200"/>
      <c r="F29" s="201"/>
    </row>
    <row r="30" spans="1:6" ht="22.5" customHeight="1" x14ac:dyDescent="0.35">
      <c r="A30" s="254"/>
      <c r="B30" s="255"/>
      <c r="C30" s="255"/>
      <c r="D30" s="255"/>
      <c r="E30" s="255"/>
      <c r="F30" s="256"/>
    </row>
    <row r="32" spans="1:6" x14ac:dyDescent="0.35">
      <c r="A32" s="68" t="s">
        <v>116</v>
      </c>
      <c r="B32" s="68" t="s">
        <v>120</v>
      </c>
      <c r="C32" s="208" t="s">
        <v>117</v>
      </c>
      <c r="D32" s="208"/>
      <c r="E32" s="68" t="s">
        <v>118</v>
      </c>
      <c r="F32" s="68" t="s">
        <v>119</v>
      </c>
    </row>
    <row r="33" spans="1:8" x14ac:dyDescent="0.35">
      <c r="A33" s="67">
        <v>1</v>
      </c>
      <c r="B33" s="46">
        <f>'ORDEM DE SERVIÇO'!D7</f>
        <v>25</v>
      </c>
      <c r="C33" s="209" t="str">
        <f>VLOOKUP(B33,'MATRIZ FUNCIONÁRIOS'!A:H,2,0)</f>
        <v>JOSE ANDRE DE SANTANA CRISPIM</v>
      </c>
      <c r="D33" s="209"/>
      <c r="E33" s="131" t="str">
        <f>VLOOKUP(B33,'MATRIZ FUNCIONÁRIOS'!A:H,3,0)</f>
        <v xml:space="preserve">AJUDANTE  DE OBRAS </v>
      </c>
      <c r="F33" s="132" t="s">
        <v>55</v>
      </c>
    </row>
    <row r="34" spans="1:8" x14ac:dyDescent="0.35">
      <c r="A34" s="67">
        <v>2</v>
      </c>
      <c r="B34" s="46"/>
      <c r="C34" s="185" t="e">
        <f>VLOOKUP(B34,'MATRIZ FUNCIONÁRIOS'!A:H,2,0)</f>
        <v>#N/A</v>
      </c>
      <c r="D34" s="185"/>
      <c r="E34" s="70" t="e">
        <f>VLOOKUP(B34,'MATRIZ FUNCIONÁRIOS'!A:H,3,0)</f>
        <v>#N/A</v>
      </c>
      <c r="F34" s="69"/>
    </row>
    <row r="35" spans="1:8" x14ac:dyDescent="0.35">
      <c r="A35" s="67">
        <v>3</v>
      </c>
      <c r="B35" s="46"/>
      <c r="C35" s="185" t="e">
        <f>VLOOKUP(B35,'MATRIZ FUNCIONÁRIOS'!A:H,2,0)</f>
        <v>#N/A</v>
      </c>
      <c r="D35" s="185"/>
      <c r="E35" s="45" t="e">
        <f>VLOOKUP(B35,'MATRIZ FUNCIONÁRIOS'!A:H,3,0)</f>
        <v>#N/A</v>
      </c>
      <c r="F35" s="69"/>
    </row>
    <row r="36" spans="1:8" x14ac:dyDescent="0.35">
      <c r="A36" s="67">
        <v>4</v>
      </c>
      <c r="B36" s="46"/>
      <c r="C36" s="185" t="e">
        <f>VLOOKUP(B36,'MATRIZ FUNCIONÁRIOS'!A:H,2,0)</f>
        <v>#N/A</v>
      </c>
      <c r="D36" s="185"/>
      <c r="E36" s="45" t="e">
        <f>VLOOKUP(B36,'MATRIZ FUNCIONÁRIOS'!A:H,3,0)</f>
        <v>#N/A</v>
      </c>
      <c r="F36" s="69"/>
    </row>
    <row r="37" spans="1:8" x14ac:dyDescent="0.35">
      <c r="A37" s="67">
        <v>5</v>
      </c>
      <c r="B37" s="46"/>
      <c r="C37" s="185" t="e">
        <f>VLOOKUP(B37,'MATRIZ FUNCIONÁRIOS'!A:H,2,0)</f>
        <v>#N/A</v>
      </c>
      <c r="D37" s="185"/>
      <c r="E37" s="45" t="e">
        <f>VLOOKUP(B37,'MATRIZ FUNCIONÁRIOS'!A:H,3,0)</f>
        <v>#N/A</v>
      </c>
      <c r="F37" s="69"/>
    </row>
    <row r="38" spans="1:8" x14ac:dyDescent="0.35">
      <c r="A38" s="67">
        <v>6</v>
      </c>
      <c r="B38" s="46"/>
      <c r="C38" s="185" t="e">
        <f>VLOOKUP(B38,'MATRIZ FUNCIONÁRIOS'!A:H,2,0)</f>
        <v>#N/A</v>
      </c>
      <c r="D38" s="185"/>
      <c r="E38" s="45" t="e">
        <f>VLOOKUP(B38,'MATRIZ FUNCIONÁRIOS'!A:H,3,0)</f>
        <v>#N/A</v>
      </c>
      <c r="F38" s="69"/>
    </row>
    <row r="39" spans="1:8" x14ac:dyDescent="0.35">
      <c r="A39" s="67">
        <v>7</v>
      </c>
      <c r="B39" s="46"/>
      <c r="C39" s="185" t="e">
        <f>VLOOKUP(B39,'MATRIZ FUNCIONÁRIOS'!A:H,2,0)</f>
        <v>#N/A</v>
      </c>
      <c r="D39" s="185"/>
      <c r="E39" s="45" t="e">
        <f>VLOOKUP(B39,'MATRIZ FUNCIONÁRIOS'!A:H,3,0)</f>
        <v>#N/A</v>
      </c>
      <c r="F39" s="69"/>
    </row>
    <row r="40" spans="1:8" x14ac:dyDescent="0.35">
      <c r="A40" s="67">
        <v>8</v>
      </c>
      <c r="B40" s="46"/>
      <c r="C40" s="185" t="e">
        <f>VLOOKUP(B40,'MATRIZ FUNCIONÁRIOS'!A:H,2,0)</f>
        <v>#N/A</v>
      </c>
      <c r="D40" s="185"/>
      <c r="E40" s="45" t="e">
        <f>VLOOKUP(B40,'MATRIZ FUNCIONÁRIOS'!A:H,3,0)</f>
        <v>#N/A</v>
      </c>
      <c r="F40" s="69"/>
    </row>
    <row r="41" spans="1:8" x14ac:dyDescent="0.35">
      <c r="A41" s="67">
        <v>9</v>
      </c>
      <c r="B41" s="46"/>
      <c r="C41" s="185" t="e">
        <f>VLOOKUP(B41,'MATRIZ FUNCIONÁRIOS'!A:H,2,0)</f>
        <v>#N/A</v>
      </c>
      <c r="D41" s="185"/>
      <c r="E41" s="45" t="e">
        <f>VLOOKUP(B41,'MATRIZ FUNCIONÁRIOS'!A:H,3,0)</f>
        <v>#N/A</v>
      </c>
      <c r="F41" s="69"/>
    </row>
    <row r="42" spans="1:8" x14ac:dyDescent="0.35">
      <c r="A42" s="67">
        <v>10</v>
      </c>
      <c r="B42" s="46"/>
      <c r="C42" s="185" t="e">
        <f>VLOOKUP(B42,'MATRIZ FUNCIONÁRIOS'!A:H,2,0)</f>
        <v>#N/A</v>
      </c>
      <c r="D42" s="186"/>
      <c r="E42" s="45" t="e">
        <f>VLOOKUP(B42,'MATRIZ FUNCIONÁRIOS'!A:H,3,0)</f>
        <v>#N/A</v>
      </c>
      <c r="F42" s="69"/>
    </row>
    <row r="43" spans="1:8" x14ac:dyDescent="0.35">
      <c r="A43" s="67">
        <v>11</v>
      </c>
      <c r="B43" s="46"/>
      <c r="C43" s="185" t="e">
        <f>VLOOKUP(B43,'MATRIZ FUNCIONÁRIOS'!A:H,2,0)</f>
        <v>#N/A</v>
      </c>
      <c r="D43" s="186"/>
      <c r="E43" s="45" t="e">
        <f>VLOOKUP(B43,'MATRIZ FUNCIONÁRIOS'!A:H,3,0)</f>
        <v>#N/A</v>
      </c>
      <c r="F43" s="69"/>
    </row>
    <row r="44" spans="1:8" ht="18" customHeight="1" x14ac:dyDescent="0.35">
      <c r="A44" s="187" t="s">
        <v>608</v>
      </c>
      <c r="B44" s="187"/>
      <c r="C44" s="187"/>
      <c r="D44" s="187"/>
      <c r="E44" s="188"/>
      <c r="F44" s="188"/>
      <c r="G44" s="102"/>
      <c r="H44" s="102"/>
    </row>
    <row r="45" spans="1:8" ht="15" customHeight="1" x14ac:dyDescent="0.35">
      <c r="A45" s="187"/>
      <c r="B45" s="187"/>
      <c r="C45" s="187"/>
      <c r="D45" s="187"/>
      <c r="E45" s="188"/>
      <c r="F45" s="188"/>
      <c r="G45" s="102"/>
      <c r="H45" s="102"/>
    </row>
    <row r="46" spans="1:8" x14ac:dyDescent="0.35">
      <c r="A46" s="187"/>
      <c r="B46" s="187"/>
      <c r="C46" s="187"/>
      <c r="D46" s="187"/>
      <c r="E46" s="188"/>
      <c r="F46" s="188"/>
    </row>
    <row r="47" spans="1:8" ht="15" customHeight="1" x14ac:dyDescent="0.35">
      <c r="A47" s="187"/>
      <c r="B47" s="187"/>
      <c r="C47" s="187"/>
      <c r="D47" s="187"/>
      <c r="E47" s="188"/>
      <c r="F47" s="188"/>
    </row>
  </sheetData>
  <mergeCells count="27">
    <mergeCell ref="A7:F7"/>
    <mergeCell ref="A1:B2"/>
    <mergeCell ref="C37:D37"/>
    <mergeCell ref="C38:D38"/>
    <mergeCell ref="C39:D39"/>
    <mergeCell ref="C40:D40"/>
    <mergeCell ref="C32:D32"/>
    <mergeCell ref="C33:D33"/>
    <mergeCell ref="C34:D34"/>
    <mergeCell ref="A8:F28"/>
    <mergeCell ref="A29:F30"/>
    <mergeCell ref="A44:D47"/>
    <mergeCell ref="E44:F47"/>
    <mergeCell ref="C1:F1"/>
    <mergeCell ref="C2:F2"/>
    <mergeCell ref="A3:C3"/>
    <mergeCell ref="D3:E3"/>
    <mergeCell ref="D4:E4"/>
    <mergeCell ref="D6:E6"/>
    <mergeCell ref="D5:E5"/>
    <mergeCell ref="A6:C6"/>
    <mergeCell ref="A5:C5"/>
    <mergeCell ref="C41:D41"/>
    <mergeCell ref="C42:D42"/>
    <mergeCell ref="C43:D43"/>
    <mergeCell ref="C35:D35"/>
    <mergeCell ref="C36:D36"/>
  </mergeCells>
  <pageMargins left="0.25" right="0.25"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ACD63-5451-4B94-944E-33FAD47FC433}">
  <dimension ref="C7:AC71"/>
  <sheetViews>
    <sheetView topLeftCell="A11" zoomScale="70" zoomScaleNormal="70" workbookViewId="0">
      <selection activeCell="X33" sqref="X33"/>
    </sheetView>
  </sheetViews>
  <sheetFormatPr defaultRowHeight="14.5" x14ac:dyDescent="0.35"/>
  <cols>
    <col min="2" max="2" width="3.1796875" customWidth="1"/>
    <col min="4" max="4" width="7.81640625" customWidth="1"/>
    <col min="6" max="6" width="6" customWidth="1"/>
    <col min="7" max="7" width="11.1796875" customWidth="1"/>
    <col min="8" max="8" width="1.81640625" customWidth="1"/>
    <col min="9" max="10" width="10.1796875" customWidth="1"/>
    <col min="11" max="11" width="11.81640625" customWidth="1"/>
    <col min="12" max="12" width="8.1796875" customWidth="1"/>
    <col min="13" max="13" width="1.81640625" customWidth="1"/>
    <col min="14" max="15" width="9.1796875" customWidth="1"/>
    <col min="16" max="16" width="4.1796875" customWidth="1"/>
    <col min="17" max="17" width="25.453125" customWidth="1"/>
  </cols>
  <sheetData>
    <row r="7" spans="3:29" x14ac:dyDescent="0.35">
      <c r="C7" s="232" t="s">
        <v>135</v>
      </c>
      <c r="D7" s="232"/>
      <c r="E7" s="232"/>
      <c r="F7" s="232"/>
      <c r="G7" s="232"/>
      <c r="H7" s="232"/>
      <c r="I7" s="232"/>
      <c r="J7" s="232"/>
      <c r="K7" s="232"/>
      <c r="L7" s="232"/>
      <c r="M7" s="232"/>
      <c r="N7" s="232"/>
      <c r="O7" s="232"/>
      <c r="P7" s="232"/>
      <c r="Q7" s="232"/>
    </row>
    <row r="8" spans="3:29" ht="20.25" customHeight="1" x14ac:dyDescent="0.35">
      <c r="C8" s="232"/>
      <c r="D8" s="232"/>
      <c r="E8" s="232"/>
      <c r="F8" s="232"/>
      <c r="G8" s="232"/>
      <c r="H8" s="232"/>
      <c r="I8" s="232"/>
      <c r="J8" s="232"/>
      <c r="K8" s="232"/>
      <c r="L8" s="232"/>
      <c r="M8" s="232"/>
      <c r="N8" s="232"/>
      <c r="O8" s="232"/>
      <c r="P8" s="232"/>
      <c r="Q8" s="232"/>
    </row>
    <row r="9" spans="3:29" ht="20.25" customHeight="1" x14ac:dyDescent="0.35">
      <c r="C9" s="232"/>
      <c r="D9" s="232"/>
      <c r="E9" s="232"/>
      <c r="F9" s="232"/>
      <c r="G9" s="232"/>
      <c r="H9" s="232"/>
      <c r="I9" s="232"/>
      <c r="J9" s="232"/>
      <c r="K9" s="232"/>
      <c r="L9" s="232"/>
      <c r="M9" s="232"/>
      <c r="N9" s="232"/>
      <c r="O9" s="232"/>
      <c r="P9" s="232"/>
      <c r="Q9" s="232"/>
    </row>
    <row r="10" spans="3:29" ht="20" x14ac:dyDescent="0.4">
      <c r="C10" s="80"/>
      <c r="D10" s="80"/>
      <c r="E10" s="80"/>
      <c r="F10" s="80"/>
      <c r="G10" s="80"/>
      <c r="H10" s="80"/>
      <c r="I10" s="80"/>
      <c r="J10" s="80"/>
      <c r="K10" s="80"/>
      <c r="L10" s="80"/>
      <c r="M10" s="80"/>
      <c r="N10" s="80"/>
      <c r="O10" s="80"/>
      <c r="P10" s="80"/>
      <c r="Q10" s="80"/>
      <c r="W10" s="80"/>
      <c r="X10" s="80"/>
      <c r="Y10" s="80"/>
      <c r="Z10" s="80"/>
      <c r="AA10" s="80"/>
      <c r="AB10" s="80"/>
      <c r="AC10" s="80"/>
    </row>
    <row r="11" spans="3:29" ht="20" x14ac:dyDescent="0.4">
      <c r="C11" s="80"/>
      <c r="D11" s="80"/>
      <c r="E11" s="80"/>
      <c r="F11" s="80"/>
      <c r="G11" s="80"/>
      <c r="H11" s="80"/>
      <c r="I11" s="80"/>
      <c r="J11" s="80"/>
      <c r="K11" s="80"/>
      <c r="L11" s="80"/>
      <c r="M11" s="80"/>
      <c r="N11" s="80"/>
      <c r="O11" s="80"/>
      <c r="P11" s="80"/>
      <c r="Q11" s="80"/>
      <c r="W11" s="80"/>
      <c r="X11" s="80"/>
      <c r="Y11" s="80"/>
      <c r="Z11" s="80"/>
      <c r="AA11" s="80"/>
      <c r="AB11" s="80"/>
      <c r="AC11" s="80"/>
    </row>
    <row r="12" spans="3:29" ht="20" x14ac:dyDescent="0.4">
      <c r="C12" s="233" t="s">
        <v>131</v>
      </c>
      <c r="D12" s="233"/>
      <c r="E12" s="233"/>
      <c r="F12" s="233"/>
      <c r="G12" s="234" t="str">
        <f>'ORDEM DE SERVIÇO'!B9</f>
        <v>JOSE ANDRE DE SANTANA CRISPIM</v>
      </c>
      <c r="H12" s="234"/>
      <c r="I12" s="234"/>
      <c r="J12" s="234"/>
      <c r="K12" s="234"/>
      <c r="L12" s="234"/>
      <c r="M12" s="231" t="s">
        <v>132</v>
      </c>
      <c r="N12" s="231"/>
      <c r="O12" s="231"/>
      <c r="P12" s="231"/>
      <c r="Q12" s="86">
        <f>'ORDEM DE SERVIÇO'!B40</f>
        <v>3140099</v>
      </c>
      <c r="W12" s="80"/>
      <c r="X12" s="80"/>
      <c r="Y12" s="80"/>
      <c r="Z12" s="80"/>
      <c r="AA12" s="80"/>
      <c r="AB12" s="80"/>
      <c r="AC12" s="80"/>
    </row>
    <row r="13" spans="3:29" ht="20" x14ac:dyDescent="0.4">
      <c r="C13" s="235" t="s">
        <v>183</v>
      </c>
      <c r="D13" s="235"/>
      <c r="E13" s="235"/>
      <c r="F13" s="235"/>
      <c r="G13" s="235"/>
      <c r="H13" s="235"/>
      <c r="I13" s="235"/>
      <c r="J13" s="235"/>
      <c r="K13" s="235"/>
      <c r="L13" s="235"/>
      <c r="M13" s="235"/>
      <c r="N13" s="235"/>
      <c r="O13" s="235"/>
      <c r="P13" s="235"/>
      <c r="Q13" s="235"/>
      <c r="W13" s="80"/>
      <c r="X13" s="80"/>
      <c r="Y13" s="80"/>
      <c r="Z13" s="80"/>
      <c r="AA13" s="80"/>
      <c r="AB13" s="80"/>
      <c r="AC13" s="80"/>
    </row>
    <row r="14" spans="3:29" ht="20" x14ac:dyDescent="0.4">
      <c r="C14" s="233" t="s">
        <v>184</v>
      </c>
      <c r="D14" s="233"/>
      <c r="E14" s="233"/>
      <c r="F14" s="233"/>
      <c r="G14" s="233"/>
      <c r="H14" s="236">
        <f>F23</f>
        <v>45758</v>
      </c>
      <c r="I14" s="231"/>
      <c r="J14" s="231"/>
      <c r="K14" s="231" t="s">
        <v>185</v>
      </c>
      <c r="L14" s="231"/>
      <c r="M14" s="267" t="str">
        <f>'ORDEM DE SERVIÇO'!D9</f>
        <v xml:space="preserve">AJUDANTE  DE OBRAS </v>
      </c>
      <c r="N14" s="267"/>
      <c r="O14" s="267"/>
      <c r="P14" s="267"/>
      <c r="Q14" s="267"/>
      <c r="W14" s="80"/>
      <c r="X14" s="80"/>
      <c r="Y14" s="80"/>
      <c r="Z14" s="80"/>
      <c r="AA14" s="80"/>
      <c r="AB14" s="80"/>
      <c r="AC14" s="80"/>
    </row>
    <row r="15" spans="3:29" ht="20.25" customHeight="1" x14ac:dyDescent="0.4">
      <c r="C15" s="237" t="str">
        <f>'TREINAMENTO DE NR 12'!A29</f>
        <v>Treinamento para as máquinas: ROLO COMPACTADOR, ROLO CHAPA E PNEU, BOBCAT, ROLO PATA DE CARNEIRO, FRESADORA DE ASFALTICO, ESCAVADEIRA HIDRÁULICA RETROESCAVADEIRA E MOTONIVELADORA (PATROL).</v>
      </c>
      <c r="D15" s="237"/>
      <c r="E15" s="237"/>
      <c r="F15" s="237"/>
      <c r="G15" s="237"/>
      <c r="H15" s="237"/>
      <c r="I15" s="237"/>
      <c r="J15" s="237"/>
      <c r="K15" s="237"/>
      <c r="L15" s="237"/>
      <c r="M15" s="237"/>
      <c r="N15" s="237"/>
      <c r="O15" s="237"/>
      <c r="P15" s="237"/>
      <c r="Q15" s="237"/>
      <c r="W15" s="80"/>
      <c r="X15" s="80"/>
      <c r="Y15" s="80"/>
      <c r="Z15" s="80"/>
      <c r="AA15" s="80"/>
      <c r="AB15" s="80"/>
      <c r="AC15" s="80"/>
    </row>
    <row r="16" spans="3:29" ht="20" x14ac:dyDescent="0.4">
      <c r="C16" s="237"/>
      <c r="D16" s="237"/>
      <c r="E16" s="237"/>
      <c r="F16" s="237"/>
      <c r="G16" s="237"/>
      <c r="H16" s="237"/>
      <c r="I16" s="237"/>
      <c r="J16" s="237"/>
      <c r="K16" s="237"/>
      <c r="L16" s="237"/>
      <c r="M16" s="237"/>
      <c r="N16" s="237"/>
      <c r="O16" s="237"/>
      <c r="P16" s="237"/>
      <c r="Q16" s="237"/>
      <c r="W16" s="80"/>
      <c r="X16" s="80"/>
      <c r="Y16" s="80"/>
      <c r="Z16" s="80"/>
      <c r="AA16" s="80"/>
      <c r="AB16" s="80"/>
      <c r="AC16" s="80"/>
    </row>
    <row r="17" spans="3:29" ht="20" x14ac:dyDescent="0.4">
      <c r="C17" s="237"/>
      <c r="D17" s="237"/>
      <c r="E17" s="237"/>
      <c r="F17" s="237"/>
      <c r="G17" s="237"/>
      <c r="H17" s="237"/>
      <c r="I17" s="237"/>
      <c r="J17" s="237"/>
      <c r="K17" s="237"/>
      <c r="L17" s="237"/>
      <c r="M17" s="237"/>
      <c r="N17" s="237"/>
      <c r="O17" s="237"/>
      <c r="P17" s="237"/>
      <c r="Q17" s="237"/>
      <c r="W17" s="80"/>
      <c r="X17" s="80"/>
      <c r="Y17" s="80"/>
      <c r="Z17" s="80"/>
      <c r="AA17" s="80"/>
      <c r="AB17" s="80"/>
      <c r="AC17" s="80"/>
    </row>
    <row r="18" spans="3:29" ht="20" x14ac:dyDescent="0.4">
      <c r="C18" s="238" t="s">
        <v>599</v>
      </c>
      <c r="D18" s="238"/>
      <c r="E18" s="238"/>
      <c r="F18" s="238"/>
      <c r="G18" s="238"/>
      <c r="H18" s="238"/>
      <c r="I18" s="238"/>
      <c r="J18" s="238"/>
      <c r="K18" s="238"/>
      <c r="L18" s="238"/>
      <c r="M18" s="238"/>
      <c r="N18" s="238"/>
      <c r="O18" s="238"/>
      <c r="P18" s="238"/>
      <c r="Q18" s="238"/>
      <c r="W18" s="80"/>
      <c r="X18" s="80"/>
      <c r="Y18" s="80"/>
      <c r="Z18" s="80"/>
      <c r="AA18" s="80"/>
      <c r="AB18" s="80"/>
      <c r="AC18" s="80"/>
    </row>
    <row r="19" spans="3:29" ht="20" x14ac:dyDescent="0.4">
      <c r="C19" s="238" t="s">
        <v>609</v>
      </c>
      <c r="D19" s="238"/>
      <c r="E19" s="238"/>
      <c r="F19" s="238"/>
      <c r="G19" s="238"/>
      <c r="H19" s="238"/>
      <c r="I19" s="238"/>
      <c r="J19" s="238"/>
      <c r="K19" s="238"/>
      <c r="L19" s="238"/>
      <c r="M19" s="238"/>
      <c r="N19" s="238"/>
      <c r="O19" s="238"/>
      <c r="P19" s="238"/>
      <c r="Q19" s="238"/>
      <c r="W19" s="80"/>
      <c r="X19" s="80"/>
      <c r="Y19" s="80"/>
      <c r="Z19" s="80"/>
      <c r="AA19" s="80"/>
      <c r="AB19" s="80"/>
      <c r="AC19" s="80"/>
    </row>
    <row r="20" spans="3:29" ht="20" x14ac:dyDescent="0.4">
      <c r="C20" s="268"/>
      <c r="D20" s="233"/>
      <c r="E20" s="233"/>
      <c r="F20" s="233"/>
      <c r="G20" s="233"/>
      <c r="H20" s="233"/>
      <c r="I20" s="233"/>
      <c r="J20" s="233"/>
      <c r="K20" s="233"/>
      <c r="L20" s="233"/>
      <c r="M20" s="233"/>
      <c r="N20" s="233"/>
      <c r="O20" s="233"/>
      <c r="P20" s="233"/>
      <c r="Q20" s="233"/>
      <c r="W20" s="80"/>
      <c r="X20" s="80"/>
      <c r="Y20" s="80"/>
      <c r="Z20" s="80"/>
      <c r="AA20" s="80"/>
      <c r="AB20" s="80"/>
      <c r="AC20" s="80"/>
    </row>
    <row r="21" spans="3:29" ht="18.75" customHeight="1" x14ac:dyDescent="0.4">
      <c r="C21" s="80" t="s">
        <v>470</v>
      </c>
      <c r="W21" s="80"/>
      <c r="X21" s="80"/>
      <c r="Y21" s="80"/>
      <c r="Z21" s="80"/>
      <c r="AA21" s="80"/>
      <c r="AB21" s="80"/>
      <c r="AC21" s="80"/>
    </row>
    <row r="22" spans="3:29" ht="20" x14ac:dyDescent="0.4">
      <c r="C22" s="80"/>
      <c r="D22" s="80"/>
      <c r="E22" s="80"/>
      <c r="F22" s="80"/>
      <c r="G22" s="80"/>
      <c r="H22" s="80"/>
      <c r="I22" s="80"/>
      <c r="J22" s="80"/>
      <c r="K22" s="80"/>
      <c r="L22" s="80"/>
      <c r="M22" s="80"/>
      <c r="N22" s="80"/>
      <c r="O22" s="80"/>
      <c r="P22" s="80"/>
      <c r="Q22" s="80"/>
      <c r="W22" s="80"/>
      <c r="X22" s="80"/>
      <c r="Y22" s="80"/>
      <c r="Z22" s="80"/>
      <c r="AA22" s="80"/>
      <c r="AB22" s="80"/>
      <c r="AC22" s="80"/>
    </row>
    <row r="23" spans="3:29" ht="20" x14ac:dyDescent="0.4">
      <c r="C23" s="238" t="s">
        <v>610</v>
      </c>
      <c r="D23" s="238"/>
      <c r="E23" s="238"/>
      <c r="F23" s="240">
        <v>45758</v>
      </c>
      <c r="G23" s="240"/>
      <c r="H23" s="240"/>
      <c r="I23" s="240"/>
      <c r="J23" s="80"/>
      <c r="K23" s="80"/>
      <c r="L23" s="80"/>
      <c r="M23" s="80"/>
      <c r="N23" s="80"/>
      <c r="O23" s="80"/>
      <c r="P23" s="80"/>
      <c r="Q23" s="80"/>
      <c r="W23" s="80"/>
      <c r="X23" s="80"/>
      <c r="Y23" s="80"/>
      <c r="Z23" s="80"/>
      <c r="AA23" s="80"/>
      <c r="AB23" s="80"/>
      <c r="AC23" s="80"/>
    </row>
    <row r="24" spans="3:29" ht="20" x14ac:dyDescent="0.4">
      <c r="C24" s="80"/>
      <c r="D24" s="80"/>
      <c r="E24" s="80"/>
      <c r="F24" s="80"/>
      <c r="G24" s="80"/>
      <c r="H24" s="80"/>
      <c r="I24" s="80"/>
      <c r="J24" s="80"/>
      <c r="K24" s="80"/>
      <c r="L24" s="80"/>
      <c r="M24" s="80"/>
      <c r="N24" s="80"/>
      <c r="O24" s="80"/>
      <c r="P24" s="80"/>
      <c r="Q24" s="80"/>
      <c r="W24" s="80"/>
      <c r="X24" s="80"/>
      <c r="Y24" s="80"/>
      <c r="Z24" s="80"/>
      <c r="AA24" s="80"/>
      <c r="AB24" s="80"/>
      <c r="AC24" s="80"/>
    </row>
    <row r="25" spans="3:29" ht="20" x14ac:dyDescent="0.4">
      <c r="C25" s="80"/>
      <c r="D25" s="80"/>
      <c r="E25" s="80"/>
      <c r="F25" s="80"/>
      <c r="G25" s="80"/>
      <c r="H25" s="80"/>
      <c r="I25" s="80"/>
      <c r="J25" s="80"/>
      <c r="K25" s="80"/>
      <c r="L25" s="80"/>
      <c r="M25" s="80"/>
      <c r="N25" s="80"/>
      <c r="O25" s="80"/>
      <c r="P25" s="80"/>
      <c r="Q25" s="80"/>
    </row>
    <row r="26" spans="3:29" ht="14.5" customHeight="1" x14ac:dyDescent="0.4">
      <c r="C26" s="80"/>
      <c r="D26" s="80"/>
      <c r="E26" s="80"/>
      <c r="F26" s="80"/>
      <c r="G26" s="80"/>
      <c r="H26" s="80"/>
      <c r="I26" s="80"/>
      <c r="J26" s="80"/>
      <c r="K26" s="80"/>
      <c r="L26" s="80"/>
      <c r="M26" s="80"/>
      <c r="N26" s="80" t="s">
        <v>55</v>
      </c>
      <c r="O26" s="80"/>
      <c r="P26" s="80"/>
      <c r="Q26" s="80"/>
    </row>
    <row r="27" spans="3:29" x14ac:dyDescent="0.35">
      <c r="C27" s="227" t="s">
        <v>452</v>
      </c>
      <c r="D27" s="227"/>
      <c r="E27" s="227"/>
      <c r="F27" s="227"/>
      <c r="G27" s="227"/>
      <c r="H27" s="82"/>
      <c r="I27" s="227"/>
      <c r="J27" s="227"/>
      <c r="K27" s="227"/>
      <c r="L27" s="227"/>
      <c r="M27" s="82"/>
      <c r="N27" s="227" t="str">
        <f>'ORDEM DE SERVIÇO'!B39</f>
        <v>JOSE ANDRE DE SANTANA CRISPIM</v>
      </c>
      <c r="O27" s="227"/>
      <c r="P27" s="227"/>
      <c r="Q27" s="227"/>
    </row>
    <row r="28" spans="3:29" x14ac:dyDescent="0.35">
      <c r="C28" s="228" t="s">
        <v>206</v>
      </c>
      <c r="D28" s="228"/>
      <c r="E28" s="228"/>
      <c r="F28" s="228"/>
      <c r="G28" s="228"/>
      <c r="H28" s="82"/>
      <c r="I28" s="228"/>
      <c r="J28" s="228"/>
      <c r="K28" s="228"/>
      <c r="L28" s="228"/>
      <c r="M28" s="82"/>
      <c r="N28" s="228" t="str">
        <f>'ORDEM DE SERVIÇO'!B41</f>
        <v xml:space="preserve">AJUDANTE  DE OBRAS </v>
      </c>
      <c r="O28" s="228"/>
      <c r="P28" s="228"/>
      <c r="Q28" s="228"/>
    </row>
    <row r="29" spans="3:29" x14ac:dyDescent="0.35">
      <c r="C29" s="228" t="s">
        <v>515</v>
      </c>
      <c r="D29" s="228"/>
      <c r="E29" s="228"/>
      <c r="F29" s="228"/>
      <c r="G29" s="228"/>
      <c r="H29" s="82"/>
      <c r="I29" s="228"/>
      <c r="J29" s="228"/>
      <c r="K29" s="228"/>
      <c r="L29" s="228"/>
      <c r="M29" s="82"/>
      <c r="N29" s="228"/>
      <c r="O29" s="228"/>
      <c r="P29" s="228"/>
      <c r="Q29" s="228"/>
    </row>
    <row r="30" spans="3:29" ht="15.5" x14ac:dyDescent="0.35">
      <c r="C30" s="228"/>
      <c r="D30" s="228"/>
      <c r="E30" s="228"/>
      <c r="F30" s="228"/>
      <c r="G30" s="228"/>
      <c r="H30" s="83"/>
      <c r="I30" s="228"/>
      <c r="J30" s="228"/>
      <c r="K30" s="228"/>
      <c r="L30" s="228"/>
      <c r="M30" s="79"/>
      <c r="N30" s="79"/>
      <c r="O30" s="222"/>
      <c r="P30" s="222"/>
      <c r="Q30" s="222"/>
    </row>
    <row r="31" spans="3:29" ht="15.5" x14ac:dyDescent="0.35">
      <c r="C31" s="79"/>
      <c r="D31" s="79"/>
      <c r="E31" s="79"/>
      <c r="F31" s="79"/>
      <c r="G31" s="79"/>
      <c r="H31" s="79"/>
      <c r="I31" s="79"/>
      <c r="J31" s="79"/>
      <c r="K31" s="79"/>
      <c r="L31" s="79"/>
      <c r="M31" s="79"/>
      <c r="N31" s="79"/>
      <c r="O31" s="222"/>
      <c r="P31" s="222"/>
      <c r="Q31" s="222"/>
    </row>
    <row r="32" spans="3:29" ht="15.5" x14ac:dyDescent="0.35">
      <c r="C32" s="79"/>
      <c r="D32" s="79"/>
      <c r="E32" s="79"/>
      <c r="F32" s="79"/>
      <c r="G32" s="79"/>
      <c r="H32" s="79"/>
      <c r="I32" s="79"/>
      <c r="J32" s="79"/>
      <c r="K32" s="79"/>
      <c r="L32" s="79"/>
      <c r="M32" s="79"/>
      <c r="N32" s="79"/>
      <c r="O32" s="222"/>
      <c r="P32" s="222"/>
      <c r="Q32" s="222"/>
    </row>
    <row r="40" spans="3:19" ht="15" customHeight="1" x14ac:dyDescent="0.35">
      <c r="C40" s="223" t="s">
        <v>207</v>
      </c>
      <c r="D40" s="223"/>
      <c r="E40" s="223"/>
      <c r="F40" s="223"/>
      <c r="G40" s="223"/>
      <c r="H40" s="223"/>
      <c r="I40" s="223"/>
      <c r="J40" s="223"/>
      <c r="K40" s="223"/>
      <c r="L40" s="223"/>
      <c r="M40" s="223"/>
      <c r="N40" s="223"/>
      <c r="O40" s="223"/>
      <c r="P40" s="223"/>
      <c r="Q40" s="223"/>
      <c r="R40" s="81"/>
      <c r="S40" s="81"/>
    </row>
    <row r="41" spans="3:19" ht="15" customHeight="1" x14ac:dyDescent="0.35">
      <c r="C41" s="223"/>
      <c r="D41" s="223"/>
      <c r="E41" s="223"/>
      <c r="F41" s="223"/>
      <c r="G41" s="223"/>
      <c r="H41" s="223"/>
      <c r="I41" s="223"/>
      <c r="J41" s="223"/>
      <c r="K41" s="223"/>
      <c r="L41" s="223"/>
      <c r="M41" s="223"/>
      <c r="N41" s="223"/>
      <c r="O41" s="223"/>
      <c r="P41" s="223"/>
      <c r="Q41" s="223"/>
      <c r="R41" s="81"/>
      <c r="S41" s="81"/>
    </row>
    <row r="42" spans="3:19" ht="15" customHeight="1" x14ac:dyDescent="0.35">
      <c r="C42" s="223"/>
      <c r="D42" s="223"/>
      <c r="E42" s="223"/>
      <c r="F42" s="223"/>
      <c r="G42" s="223"/>
      <c r="H42" s="223"/>
      <c r="I42" s="223"/>
      <c r="J42" s="223"/>
      <c r="K42" s="223"/>
      <c r="L42" s="223"/>
      <c r="M42" s="223"/>
      <c r="N42" s="223"/>
      <c r="O42" s="223"/>
      <c r="P42" s="223"/>
      <c r="Q42" s="223"/>
      <c r="R42" s="81"/>
      <c r="S42" s="81"/>
    </row>
    <row r="46" spans="3:19" ht="15" customHeight="1" x14ac:dyDescent="0.35">
      <c r="C46" s="114" t="s">
        <v>186</v>
      </c>
      <c r="D46" s="115"/>
      <c r="E46" s="115"/>
      <c r="F46" s="115"/>
      <c r="G46" s="115"/>
      <c r="H46" s="115"/>
      <c r="I46" s="115"/>
      <c r="J46" s="115"/>
      <c r="K46" s="115"/>
      <c r="L46" s="115"/>
      <c r="M46" s="115"/>
      <c r="N46" s="115"/>
      <c r="O46" s="115"/>
      <c r="P46" s="115"/>
      <c r="Q46" s="115"/>
      <c r="R46" s="116"/>
      <c r="S46" s="83"/>
    </row>
    <row r="47" spans="3:19" ht="15" customHeight="1" x14ac:dyDescent="0.35">
      <c r="C47" s="109" t="s">
        <v>187</v>
      </c>
      <c r="D47" s="107"/>
      <c r="E47" s="107"/>
      <c r="F47" s="107"/>
      <c r="G47" s="107"/>
      <c r="H47" s="107"/>
      <c r="I47" s="107"/>
      <c r="J47" s="107"/>
      <c r="K47" s="107"/>
      <c r="L47" s="107"/>
      <c r="M47" s="107"/>
      <c r="N47" s="107"/>
      <c r="O47" s="107"/>
      <c r="P47" s="107"/>
      <c r="Q47" s="107"/>
      <c r="R47" s="108"/>
      <c r="S47" s="83"/>
    </row>
    <row r="48" spans="3:19" ht="15" customHeight="1" x14ac:dyDescent="0.35">
      <c r="C48" s="109" t="s">
        <v>188</v>
      </c>
      <c r="D48" s="107"/>
      <c r="E48" s="107"/>
      <c r="F48" s="107"/>
      <c r="G48" s="107"/>
      <c r="H48" s="107"/>
      <c r="I48" s="107"/>
      <c r="J48" s="107"/>
      <c r="K48" s="107"/>
      <c r="L48" s="107"/>
      <c r="M48" s="107"/>
      <c r="N48" s="107"/>
      <c r="O48" s="107"/>
      <c r="P48" s="107"/>
      <c r="Q48" s="107"/>
      <c r="R48" s="108"/>
      <c r="S48" s="83"/>
    </row>
    <row r="49" spans="3:19" ht="15" customHeight="1" x14ac:dyDescent="0.35">
      <c r="C49" s="109" t="s">
        <v>189</v>
      </c>
      <c r="D49" s="107"/>
      <c r="E49" s="107"/>
      <c r="F49" s="107"/>
      <c r="G49" s="107"/>
      <c r="H49" s="107"/>
      <c r="I49" s="107"/>
      <c r="J49" s="107"/>
      <c r="K49" s="107"/>
      <c r="L49" s="107"/>
      <c r="M49" s="107"/>
      <c r="N49" s="107"/>
      <c r="O49" s="107"/>
      <c r="P49" s="107"/>
      <c r="Q49" s="107"/>
      <c r="R49" s="108"/>
      <c r="S49" s="83"/>
    </row>
    <row r="50" spans="3:19" ht="15" customHeight="1" x14ac:dyDescent="0.35">
      <c r="C50" s="109" t="s">
        <v>190</v>
      </c>
      <c r="D50" s="110"/>
      <c r="E50" s="110"/>
      <c r="F50" s="110"/>
      <c r="G50" s="110"/>
      <c r="H50" s="110"/>
      <c r="I50" s="110"/>
      <c r="J50" s="110"/>
      <c r="K50" s="110"/>
      <c r="L50" s="110"/>
      <c r="M50" s="110"/>
      <c r="N50" s="110"/>
      <c r="O50" s="110"/>
      <c r="P50" s="110"/>
      <c r="Q50" s="110"/>
      <c r="R50" s="108"/>
      <c r="S50" s="83"/>
    </row>
    <row r="51" spans="3:19" ht="15" customHeight="1" x14ac:dyDescent="0.35">
      <c r="C51" s="109" t="s">
        <v>191</v>
      </c>
      <c r="D51" s="107"/>
      <c r="E51" s="107"/>
      <c r="F51" s="107"/>
      <c r="G51" s="107"/>
      <c r="H51" s="107"/>
      <c r="I51" s="107"/>
      <c r="J51" s="107"/>
      <c r="K51" s="107"/>
      <c r="L51" s="107"/>
      <c r="M51" s="107"/>
      <c r="N51" s="107"/>
      <c r="O51" s="107"/>
      <c r="P51" s="107"/>
      <c r="Q51" s="107"/>
      <c r="R51" s="108"/>
      <c r="S51" s="83"/>
    </row>
    <row r="52" spans="3:19" ht="15" customHeight="1" x14ac:dyDescent="0.35">
      <c r="C52" s="109" t="s">
        <v>192</v>
      </c>
      <c r="D52" s="107"/>
      <c r="E52" s="107"/>
      <c r="F52" s="107"/>
      <c r="G52" s="107"/>
      <c r="H52" s="107"/>
      <c r="I52" s="107"/>
      <c r="J52" s="107"/>
      <c r="K52" s="107"/>
      <c r="L52" s="107"/>
      <c r="M52" s="107"/>
      <c r="N52" s="107"/>
      <c r="O52" s="107"/>
      <c r="P52" s="107"/>
      <c r="Q52" s="107"/>
      <c r="R52" s="108"/>
      <c r="S52" s="83"/>
    </row>
    <row r="53" spans="3:19" ht="15" customHeight="1" x14ac:dyDescent="0.35">
      <c r="C53" s="109" t="s">
        <v>193</v>
      </c>
      <c r="D53" s="107"/>
      <c r="E53" s="107"/>
      <c r="F53" s="107"/>
      <c r="G53" s="107"/>
      <c r="H53" s="107"/>
      <c r="I53" s="107"/>
      <c r="J53" s="107"/>
      <c r="K53" s="107"/>
      <c r="L53" s="107"/>
      <c r="M53" s="107"/>
      <c r="N53" s="107"/>
      <c r="O53" s="107"/>
      <c r="P53" s="107"/>
      <c r="Q53" s="107"/>
      <c r="R53" s="108"/>
      <c r="S53" s="83"/>
    </row>
    <row r="54" spans="3:19" ht="15" customHeight="1" x14ac:dyDescent="0.35">
      <c r="C54" s="109" t="s">
        <v>194</v>
      </c>
      <c r="D54" s="110"/>
      <c r="E54" s="110"/>
      <c r="F54" s="110"/>
      <c r="G54" s="110"/>
      <c r="H54" s="110"/>
      <c r="I54" s="110"/>
      <c r="J54" s="110"/>
      <c r="K54" s="110"/>
      <c r="L54" s="110"/>
      <c r="M54" s="110"/>
      <c r="N54" s="110"/>
      <c r="O54" s="110"/>
      <c r="P54" s="110"/>
      <c r="Q54" s="110"/>
      <c r="R54" s="108"/>
      <c r="S54" s="83"/>
    </row>
    <row r="55" spans="3:19" ht="15" customHeight="1" x14ac:dyDescent="0.35">
      <c r="C55" s="109" t="s">
        <v>195</v>
      </c>
      <c r="D55" s="107"/>
      <c r="E55" s="107"/>
      <c r="F55" s="107"/>
      <c r="G55" s="107"/>
      <c r="H55" s="107"/>
      <c r="I55" s="107"/>
      <c r="J55" s="107"/>
      <c r="K55" s="107"/>
      <c r="L55" s="107"/>
      <c r="M55" s="107"/>
      <c r="N55" s="107"/>
      <c r="O55" s="107"/>
      <c r="P55" s="107"/>
      <c r="Q55" s="107"/>
      <c r="R55" s="108"/>
      <c r="S55" s="83"/>
    </row>
    <row r="56" spans="3:19" ht="15" customHeight="1" x14ac:dyDescent="0.35">
      <c r="C56" s="109" t="s">
        <v>196</v>
      </c>
      <c r="D56" s="107"/>
      <c r="E56" s="107"/>
      <c r="F56" s="107"/>
      <c r="G56" s="107"/>
      <c r="H56" s="107"/>
      <c r="I56" s="107"/>
      <c r="J56" s="107"/>
      <c r="K56" s="107"/>
      <c r="L56" s="107"/>
      <c r="M56" s="107"/>
      <c r="N56" s="107"/>
      <c r="O56" s="107"/>
      <c r="P56" s="107"/>
      <c r="Q56" s="107"/>
      <c r="R56" s="108"/>
      <c r="S56" s="83"/>
    </row>
    <row r="57" spans="3:19" ht="15" customHeight="1" x14ac:dyDescent="0.35">
      <c r="C57" s="114" t="s">
        <v>197</v>
      </c>
      <c r="D57" s="115"/>
      <c r="E57" s="115"/>
      <c r="F57" s="115"/>
      <c r="G57" s="115"/>
      <c r="H57" s="115"/>
      <c r="I57" s="115"/>
      <c r="J57" s="115"/>
      <c r="K57" s="115"/>
      <c r="L57" s="115"/>
      <c r="M57" s="115"/>
      <c r="N57" s="115"/>
      <c r="O57" s="115"/>
      <c r="P57" s="115"/>
      <c r="Q57" s="115"/>
      <c r="R57" s="116"/>
      <c r="S57" s="83"/>
    </row>
    <row r="58" spans="3:19" ht="15" customHeight="1" x14ac:dyDescent="0.35">
      <c r="C58" s="109" t="s">
        <v>198</v>
      </c>
      <c r="D58" s="107"/>
      <c r="E58" s="107"/>
      <c r="F58" s="107"/>
      <c r="G58" s="107"/>
      <c r="H58" s="107"/>
      <c r="I58" s="107"/>
      <c r="J58" s="107"/>
      <c r="K58" s="107"/>
      <c r="L58" s="107"/>
      <c r="M58" s="107"/>
      <c r="N58" s="107"/>
      <c r="O58" s="107"/>
      <c r="P58" s="107"/>
      <c r="Q58" s="107"/>
      <c r="R58" s="108"/>
      <c r="S58" s="83"/>
    </row>
    <row r="59" spans="3:19" ht="15" customHeight="1" x14ac:dyDescent="0.35">
      <c r="C59" s="109" t="s">
        <v>199</v>
      </c>
      <c r="D59" s="110"/>
      <c r="E59" s="110"/>
      <c r="F59" s="110"/>
      <c r="G59" s="110"/>
      <c r="H59" s="110"/>
      <c r="I59" s="110"/>
      <c r="J59" s="110"/>
      <c r="K59" s="110"/>
      <c r="L59" s="110"/>
      <c r="M59" s="110"/>
      <c r="N59" s="110"/>
      <c r="O59" s="110"/>
      <c r="P59" s="110"/>
      <c r="Q59" s="110"/>
      <c r="R59" s="108"/>
      <c r="S59" s="83"/>
    </row>
    <row r="60" spans="3:19" ht="15" customHeight="1" x14ac:dyDescent="0.35">
      <c r="C60" s="109" t="s">
        <v>200</v>
      </c>
      <c r="D60" s="107"/>
      <c r="E60" s="107"/>
      <c r="F60" s="107"/>
      <c r="G60" s="107"/>
      <c r="H60" s="107"/>
      <c r="I60" s="107"/>
      <c r="J60" s="107"/>
      <c r="K60" s="107"/>
      <c r="L60" s="107"/>
      <c r="M60" s="107"/>
      <c r="N60" s="107"/>
      <c r="O60" s="107"/>
      <c r="P60" s="107"/>
      <c r="Q60" s="107"/>
      <c r="R60" s="108"/>
      <c r="S60" s="83"/>
    </row>
    <row r="61" spans="3:19" ht="15" customHeight="1" x14ac:dyDescent="0.35">
      <c r="C61" s="109" t="s">
        <v>201</v>
      </c>
      <c r="D61" s="107"/>
      <c r="E61" s="107"/>
      <c r="F61" s="107"/>
      <c r="G61" s="107"/>
      <c r="H61" s="107"/>
      <c r="I61" s="107"/>
      <c r="J61" s="107"/>
      <c r="K61" s="107"/>
      <c r="L61" s="107"/>
      <c r="M61" s="107"/>
      <c r="N61" s="107"/>
      <c r="O61" s="107"/>
      <c r="P61" s="107"/>
      <c r="Q61" s="107"/>
      <c r="R61" s="108"/>
      <c r="S61" s="83"/>
    </row>
    <row r="62" spans="3:19" ht="15" customHeight="1" x14ac:dyDescent="0.35">
      <c r="C62" s="109" t="s">
        <v>202</v>
      </c>
      <c r="D62" s="107"/>
      <c r="E62" s="107"/>
      <c r="F62" s="107"/>
      <c r="G62" s="107"/>
      <c r="H62" s="107"/>
      <c r="I62" s="107"/>
      <c r="J62" s="107"/>
      <c r="K62" s="107"/>
      <c r="L62" s="107"/>
      <c r="M62" s="107"/>
      <c r="N62" s="107"/>
      <c r="O62" s="107"/>
      <c r="P62" s="107"/>
      <c r="Q62" s="107"/>
      <c r="R62" s="108"/>
      <c r="S62" s="83"/>
    </row>
    <row r="63" spans="3:19" ht="15" customHeight="1" x14ac:dyDescent="0.35">
      <c r="C63" s="109" t="s">
        <v>203</v>
      </c>
      <c r="D63" s="107"/>
      <c r="E63" s="107"/>
      <c r="F63" s="107"/>
      <c r="G63" s="107"/>
      <c r="H63" s="107"/>
      <c r="I63" s="107"/>
      <c r="J63" s="107"/>
      <c r="K63" s="107"/>
      <c r="L63" s="107"/>
      <c r="M63" s="107"/>
      <c r="N63" s="107"/>
      <c r="O63" s="107"/>
      <c r="P63" s="107"/>
      <c r="Q63" s="107"/>
      <c r="R63" s="108"/>
      <c r="S63" s="83"/>
    </row>
    <row r="64" spans="3:19" ht="15" customHeight="1" x14ac:dyDescent="0.35">
      <c r="C64" s="109" t="s">
        <v>204</v>
      </c>
      <c r="D64" s="111"/>
      <c r="E64" s="111"/>
      <c r="F64" s="111"/>
      <c r="G64" s="111"/>
      <c r="H64" s="111"/>
      <c r="I64" s="111"/>
      <c r="J64" s="111"/>
      <c r="K64" s="111"/>
      <c r="L64" s="111"/>
      <c r="M64" s="111"/>
      <c r="N64" s="111"/>
      <c r="O64" s="111"/>
      <c r="P64" s="111"/>
      <c r="Q64" s="111"/>
      <c r="R64" s="108"/>
      <c r="S64" s="83"/>
    </row>
    <row r="65" spans="3:19" ht="15" customHeight="1" x14ac:dyDescent="0.35">
      <c r="C65" s="109" t="s">
        <v>205</v>
      </c>
      <c r="D65" s="111"/>
      <c r="E65" s="111"/>
      <c r="F65" s="111"/>
      <c r="G65" s="111"/>
      <c r="H65" s="111"/>
      <c r="I65" s="111"/>
      <c r="J65" s="111"/>
      <c r="K65" s="111"/>
      <c r="L65" s="111"/>
      <c r="M65" s="111"/>
      <c r="N65" s="111"/>
      <c r="O65" s="111"/>
      <c r="P65" s="111"/>
      <c r="Q65" s="111"/>
      <c r="R65" s="108"/>
      <c r="S65" s="83"/>
    </row>
    <row r="66" spans="3:19" ht="15" customHeight="1" x14ac:dyDescent="0.35">
      <c r="C66" s="265" t="str">
        <f>'TREINAMENTO DE NR 12'!A29</f>
        <v>Treinamento para as máquinas: ROLO COMPACTADOR, ROLO CHAPA E PNEU, BOBCAT, ROLO PATA DE CARNEIRO, FRESADORA DE ASFALTICO, ESCAVADEIRA HIDRÁULICA RETROESCAVADEIRA E MOTONIVELADORA (PATROL).</v>
      </c>
      <c r="D66" s="265"/>
      <c r="E66" s="265"/>
      <c r="F66" s="265"/>
      <c r="G66" s="265"/>
      <c r="H66" s="265"/>
      <c r="I66" s="265"/>
      <c r="J66" s="265"/>
      <c r="K66" s="265"/>
      <c r="L66" s="265"/>
      <c r="M66" s="265"/>
      <c r="N66" s="265"/>
      <c r="O66" s="265"/>
      <c r="P66" s="265"/>
      <c r="Q66" s="265"/>
      <c r="R66" s="108"/>
      <c r="S66" s="83"/>
    </row>
    <row r="67" spans="3:19" x14ac:dyDescent="0.35">
      <c r="C67" s="112"/>
      <c r="D67" s="112"/>
      <c r="E67" s="112"/>
      <c r="F67" s="112"/>
      <c r="G67" s="112"/>
      <c r="H67" s="112"/>
      <c r="I67" s="112"/>
      <c r="J67" s="112"/>
      <c r="K67" s="112"/>
      <c r="L67" s="112"/>
      <c r="M67" s="112"/>
      <c r="N67" s="112"/>
      <c r="O67" s="113"/>
      <c r="P67" s="113"/>
      <c r="Q67" s="113"/>
      <c r="R67" s="113"/>
    </row>
    <row r="68" spans="3:19" ht="15.5" x14ac:dyDescent="0.35">
      <c r="C68" s="227" t="s">
        <v>360</v>
      </c>
      <c r="D68" s="227"/>
      <c r="E68" s="227"/>
      <c r="F68" s="227"/>
      <c r="G68" s="227"/>
      <c r="H68" s="77"/>
      <c r="I68" s="227" t="str">
        <f>'ORDEM DE SERVIÇO'!B39</f>
        <v>JOSE ANDRE DE SANTANA CRISPIM</v>
      </c>
      <c r="J68" s="227"/>
      <c r="K68" s="227"/>
      <c r="L68" s="227"/>
      <c r="M68" s="77"/>
      <c r="N68" s="77"/>
      <c r="O68" s="222"/>
      <c r="P68" s="222"/>
      <c r="Q68" s="222"/>
      <c r="R68" s="77"/>
    </row>
    <row r="69" spans="3:19" ht="15.5" x14ac:dyDescent="0.35">
      <c r="C69" s="228" t="s">
        <v>206</v>
      </c>
      <c r="D69" s="228"/>
      <c r="E69" s="228"/>
      <c r="F69" s="228"/>
      <c r="G69" s="228"/>
      <c r="H69" s="77"/>
      <c r="I69" s="228" t="str">
        <f>'ORDEM DE SERVIÇO'!B41</f>
        <v xml:space="preserve">AJUDANTE  DE OBRAS </v>
      </c>
      <c r="J69" s="228"/>
      <c r="K69" s="228"/>
      <c r="L69" s="228"/>
      <c r="M69" s="77"/>
      <c r="N69" s="77"/>
      <c r="O69" s="222"/>
      <c r="P69" s="222"/>
      <c r="Q69" s="222"/>
      <c r="R69" s="77"/>
    </row>
    <row r="70" spans="3:19" ht="15.5" x14ac:dyDescent="0.35">
      <c r="C70" s="228" t="s">
        <v>464</v>
      </c>
      <c r="D70" s="228"/>
      <c r="E70" s="228"/>
      <c r="F70" s="228"/>
      <c r="G70" s="228"/>
      <c r="H70" s="77"/>
      <c r="I70" s="77"/>
      <c r="J70" s="77"/>
      <c r="K70" s="77"/>
      <c r="L70" s="77"/>
      <c r="M70" s="77"/>
      <c r="N70" s="77"/>
      <c r="O70" s="105"/>
      <c r="P70" s="105"/>
      <c r="Q70" s="105"/>
      <c r="R70" s="77"/>
    </row>
    <row r="71" spans="3:19" x14ac:dyDescent="0.35">
      <c r="D71" s="228" t="s">
        <v>137</v>
      </c>
      <c r="E71" s="228"/>
      <c r="F71" s="228"/>
      <c r="G71" s="228"/>
    </row>
  </sheetData>
  <mergeCells count="39">
    <mergeCell ref="C29:G29"/>
    <mergeCell ref="I29:L29"/>
    <mergeCell ref="N29:Q29"/>
    <mergeCell ref="O68:Q68"/>
    <mergeCell ref="O69:Q69"/>
    <mergeCell ref="C30:G30"/>
    <mergeCell ref="I30:L30"/>
    <mergeCell ref="O30:Q30"/>
    <mergeCell ref="O31:Q31"/>
    <mergeCell ref="O32:Q32"/>
    <mergeCell ref="C40:Q42"/>
    <mergeCell ref="C66:Q66"/>
    <mergeCell ref="I68:L68"/>
    <mergeCell ref="I69:L69"/>
    <mergeCell ref="C68:G68"/>
    <mergeCell ref="C69:G69"/>
    <mergeCell ref="F23:I23"/>
    <mergeCell ref="C27:G27"/>
    <mergeCell ref="I27:L27"/>
    <mergeCell ref="N27:Q27"/>
    <mergeCell ref="C28:G28"/>
    <mergeCell ref="I28:L28"/>
    <mergeCell ref="N28:Q28"/>
    <mergeCell ref="C70:G70"/>
    <mergeCell ref="D71:G71"/>
    <mergeCell ref="C18:Q18"/>
    <mergeCell ref="K14:L14"/>
    <mergeCell ref="C7:Q9"/>
    <mergeCell ref="C12:F12"/>
    <mergeCell ref="G12:L12"/>
    <mergeCell ref="M12:P12"/>
    <mergeCell ref="C13:Q13"/>
    <mergeCell ref="C14:G14"/>
    <mergeCell ref="H14:J14"/>
    <mergeCell ref="M14:Q14"/>
    <mergeCell ref="C15:Q17"/>
    <mergeCell ref="C19:Q19"/>
    <mergeCell ref="C20:Q20"/>
    <mergeCell ref="C23:E23"/>
  </mergeCells>
  <pageMargins left="0.23622047244094491" right="0.23622047244094491" top="0.35433070866141736" bottom="0.35433070866141736" header="0.31496062992125984" footer="0.31496062992125984"/>
  <pageSetup paperSize="9" scale="96" orientation="landscape" r:id="rId1"/>
  <rowBreaks count="1" manualBreakCount="1">
    <brk id="32" max="1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2C107-C4E3-45CC-9401-F158E0BE04ED}">
  <dimension ref="A1:H48"/>
  <sheetViews>
    <sheetView zoomScaleNormal="100" workbookViewId="0">
      <selection activeCell="J4" sqref="J4"/>
    </sheetView>
  </sheetViews>
  <sheetFormatPr defaultRowHeight="14.5" x14ac:dyDescent="0.35"/>
  <cols>
    <col min="1" max="1" width="5.453125" customWidth="1"/>
    <col min="2" max="2" width="11" customWidth="1"/>
    <col min="3" max="3" width="10.1796875" customWidth="1"/>
    <col min="4" max="4" width="15.1796875" customWidth="1"/>
    <col min="5" max="5" width="25.1796875" customWidth="1"/>
    <col min="6" max="6" width="32.1796875" customWidth="1"/>
  </cols>
  <sheetData>
    <row r="1" spans="1:8" x14ac:dyDescent="0.35">
      <c r="A1" s="291"/>
      <c r="B1" s="292"/>
      <c r="C1" s="285" t="s">
        <v>109</v>
      </c>
      <c r="D1" s="286"/>
      <c r="E1" s="287"/>
      <c r="F1" s="269" t="s">
        <v>111</v>
      </c>
    </row>
    <row r="2" spans="1:8" ht="33.75" customHeight="1" x14ac:dyDescent="0.35">
      <c r="A2" s="293"/>
      <c r="B2" s="294"/>
      <c r="C2" s="288" t="s">
        <v>110</v>
      </c>
      <c r="D2" s="289"/>
      <c r="E2" s="290"/>
      <c r="F2" s="269"/>
    </row>
    <row r="3" spans="1:8" x14ac:dyDescent="0.35">
      <c r="A3" s="271" t="s">
        <v>112</v>
      </c>
      <c r="B3" s="271"/>
      <c r="C3" s="271"/>
      <c r="D3" s="271"/>
      <c r="E3" s="271"/>
      <c r="F3" s="71" t="s">
        <v>113</v>
      </c>
    </row>
    <row r="4" spans="1:8" x14ac:dyDescent="0.35">
      <c r="A4" s="270" t="s">
        <v>602</v>
      </c>
      <c r="B4" s="270"/>
      <c r="C4" s="270"/>
      <c r="D4" s="270"/>
      <c r="E4" s="270"/>
      <c r="F4" s="66">
        <v>46259</v>
      </c>
    </row>
    <row r="5" spans="1:8" x14ac:dyDescent="0.35">
      <c r="A5" s="271" t="s">
        <v>114</v>
      </c>
      <c r="B5" s="271"/>
      <c r="C5" s="271"/>
      <c r="D5" s="271"/>
      <c r="E5" s="271"/>
      <c r="F5" s="71" t="s">
        <v>115</v>
      </c>
    </row>
    <row r="6" spans="1:8" ht="15" thickBot="1" x14ac:dyDescent="0.4">
      <c r="A6" s="274" t="s">
        <v>360</v>
      </c>
      <c r="B6" s="274"/>
      <c r="C6" s="274"/>
      <c r="D6" s="274"/>
      <c r="E6" s="274"/>
      <c r="F6" s="147"/>
    </row>
    <row r="7" spans="1:8" x14ac:dyDescent="0.35">
      <c r="A7" s="275" t="s">
        <v>468</v>
      </c>
      <c r="B7" s="276"/>
      <c r="C7" s="276"/>
      <c r="D7" s="276"/>
      <c r="E7" s="276"/>
      <c r="F7" s="277"/>
      <c r="H7" t="s">
        <v>91</v>
      </c>
    </row>
    <row r="8" spans="1:8" ht="21" customHeight="1" x14ac:dyDescent="0.35">
      <c r="A8" s="278"/>
      <c r="B8" s="279"/>
      <c r="C8" s="279"/>
      <c r="D8" s="279"/>
      <c r="E8" s="279"/>
      <c r="F8" s="280"/>
    </row>
    <row r="9" spans="1:8" x14ac:dyDescent="0.35">
      <c r="A9" s="278"/>
      <c r="B9" s="279"/>
      <c r="C9" s="279"/>
      <c r="D9" s="279"/>
      <c r="E9" s="279"/>
      <c r="F9" s="280"/>
    </row>
    <row r="10" spans="1:8" x14ac:dyDescent="0.35">
      <c r="A10" s="278"/>
      <c r="B10" s="279"/>
      <c r="C10" s="279"/>
      <c r="D10" s="279"/>
      <c r="E10" s="279"/>
      <c r="F10" s="280"/>
    </row>
    <row r="11" spans="1:8" x14ac:dyDescent="0.35">
      <c r="A11" s="278"/>
      <c r="B11" s="279"/>
      <c r="C11" s="279"/>
      <c r="D11" s="279"/>
      <c r="E11" s="279"/>
      <c r="F11" s="280"/>
    </row>
    <row r="12" spans="1:8" x14ac:dyDescent="0.35">
      <c r="A12" s="278"/>
      <c r="B12" s="279"/>
      <c r="C12" s="279"/>
      <c r="D12" s="279"/>
      <c r="E12" s="279"/>
      <c r="F12" s="280"/>
    </row>
    <row r="13" spans="1:8" x14ac:dyDescent="0.35">
      <c r="A13" s="278"/>
      <c r="B13" s="279"/>
      <c r="C13" s="279"/>
      <c r="D13" s="279"/>
      <c r="E13" s="279"/>
      <c r="F13" s="280"/>
    </row>
    <row r="14" spans="1:8" x14ac:dyDescent="0.35">
      <c r="A14" s="278"/>
      <c r="B14" s="279"/>
      <c r="C14" s="279"/>
      <c r="D14" s="279"/>
      <c r="E14" s="279"/>
      <c r="F14" s="280"/>
    </row>
    <row r="15" spans="1:8" x14ac:dyDescent="0.35">
      <c r="A15" s="278"/>
      <c r="B15" s="279"/>
      <c r="C15" s="279"/>
      <c r="D15" s="279"/>
      <c r="E15" s="279"/>
      <c r="F15" s="280"/>
    </row>
    <row r="16" spans="1:8" x14ac:dyDescent="0.35">
      <c r="A16" s="278"/>
      <c r="B16" s="279"/>
      <c r="C16" s="279"/>
      <c r="D16" s="279"/>
      <c r="E16" s="279"/>
      <c r="F16" s="280"/>
    </row>
    <row r="17" spans="1:6" x14ac:dyDescent="0.35">
      <c r="A17" s="278"/>
      <c r="B17" s="279"/>
      <c r="C17" s="279"/>
      <c r="D17" s="279"/>
      <c r="E17" s="279"/>
      <c r="F17" s="280"/>
    </row>
    <row r="18" spans="1:6" x14ac:dyDescent="0.35">
      <c r="A18" s="278"/>
      <c r="B18" s="279"/>
      <c r="C18" s="279"/>
      <c r="D18" s="279"/>
      <c r="E18" s="279"/>
      <c r="F18" s="280"/>
    </row>
    <row r="19" spans="1:6" x14ac:dyDescent="0.35">
      <c r="A19" s="278"/>
      <c r="B19" s="279"/>
      <c r="C19" s="279"/>
      <c r="D19" s="279"/>
      <c r="E19" s="279"/>
      <c r="F19" s="280"/>
    </row>
    <row r="20" spans="1:6" x14ac:dyDescent="0.35">
      <c r="A20" s="278"/>
      <c r="B20" s="279"/>
      <c r="C20" s="279"/>
      <c r="D20" s="279"/>
      <c r="E20" s="279"/>
      <c r="F20" s="280"/>
    </row>
    <row r="21" spans="1:6" x14ac:dyDescent="0.35">
      <c r="A21" s="278"/>
      <c r="B21" s="279"/>
      <c r="C21" s="279"/>
      <c r="D21" s="279"/>
      <c r="E21" s="279"/>
      <c r="F21" s="280"/>
    </row>
    <row r="22" spans="1:6" x14ac:dyDescent="0.35">
      <c r="A22" s="278"/>
      <c r="B22" s="279"/>
      <c r="C22" s="279"/>
      <c r="D22" s="279"/>
      <c r="E22" s="279"/>
      <c r="F22" s="280"/>
    </row>
    <row r="23" spans="1:6" x14ac:dyDescent="0.35">
      <c r="A23" s="278"/>
      <c r="B23" s="279"/>
      <c r="C23" s="279"/>
      <c r="D23" s="279"/>
      <c r="E23" s="279"/>
      <c r="F23" s="280"/>
    </row>
    <row r="24" spans="1:6" x14ac:dyDescent="0.35">
      <c r="A24" s="278"/>
      <c r="B24" s="279"/>
      <c r="C24" s="279"/>
      <c r="D24" s="279"/>
      <c r="E24" s="279"/>
      <c r="F24" s="280"/>
    </row>
    <row r="25" spans="1:6" x14ac:dyDescent="0.35">
      <c r="A25" s="278"/>
      <c r="B25" s="279"/>
      <c r="C25" s="279"/>
      <c r="D25" s="279"/>
      <c r="E25" s="279"/>
      <c r="F25" s="280"/>
    </row>
    <row r="26" spans="1:6" x14ac:dyDescent="0.35">
      <c r="A26" s="278"/>
      <c r="B26" s="279"/>
      <c r="C26" s="279"/>
      <c r="D26" s="279"/>
      <c r="E26" s="279"/>
      <c r="F26" s="280"/>
    </row>
    <row r="27" spans="1:6" ht="23.25" customHeight="1" x14ac:dyDescent="0.35">
      <c r="A27" s="278"/>
      <c r="B27" s="279"/>
      <c r="C27" s="279"/>
      <c r="D27" s="279"/>
      <c r="E27" s="279"/>
      <c r="F27" s="280"/>
    </row>
    <row r="28" spans="1:6" x14ac:dyDescent="0.35">
      <c r="A28" s="278"/>
      <c r="B28" s="279"/>
      <c r="C28" s="279"/>
      <c r="D28" s="279"/>
      <c r="E28" s="279"/>
      <c r="F28" s="280"/>
    </row>
    <row r="29" spans="1:6" x14ac:dyDescent="0.35">
      <c r="A29" s="278"/>
      <c r="B29" s="279"/>
      <c r="C29" s="279"/>
      <c r="D29" s="279"/>
      <c r="E29" s="279"/>
      <c r="F29" s="280"/>
    </row>
    <row r="30" spans="1:6" x14ac:dyDescent="0.35">
      <c r="A30" s="278"/>
      <c r="B30" s="279"/>
      <c r="C30" s="279"/>
      <c r="D30" s="279"/>
      <c r="E30" s="279"/>
      <c r="F30" s="280"/>
    </row>
    <row r="31" spans="1:6" x14ac:dyDescent="0.35">
      <c r="A31" s="278"/>
      <c r="B31" s="279"/>
      <c r="C31" s="279"/>
      <c r="D31" s="279"/>
      <c r="E31" s="279"/>
      <c r="F31" s="280"/>
    </row>
    <row r="32" spans="1:6" ht="15" thickBot="1" x14ac:dyDescent="0.4">
      <c r="A32" s="281"/>
      <c r="B32" s="282"/>
      <c r="C32" s="282"/>
      <c r="D32" s="282"/>
      <c r="E32" s="282"/>
      <c r="F32" s="283"/>
    </row>
    <row r="34" spans="1:6" x14ac:dyDescent="0.35">
      <c r="A34" s="68" t="s">
        <v>116</v>
      </c>
      <c r="B34" s="68" t="s">
        <v>120</v>
      </c>
      <c r="C34" s="208" t="s">
        <v>117</v>
      </c>
      <c r="D34" s="208"/>
      <c r="E34" s="68" t="s">
        <v>118</v>
      </c>
      <c r="F34" s="68" t="s">
        <v>119</v>
      </c>
    </row>
    <row r="35" spans="1:6" x14ac:dyDescent="0.35">
      <c r="A35" s="67">
        <v>1</v>
      </c>
      <c r="B35" s="130">
        <f>'ORDEM DE SERVIÇO'!D7</f>
        <v>25</v>
      </c>
      <c r="C35" s="209" t="str">
        <f>VLOOKUP(B35,'MATRIZ FUNCIONÁRIOS'!A:H,2,0)</f>
        <v>JOSE ANDRE DE SANTANA CRISPIM</v>
      </c>
      <c r="D35" s="209"/>
      <c r="E35" s="131" t="str">
        <f>VLOOKUP(B35,'MATRIZ FUNCIONÁRIOS'!A:H,3,0)</f>
        <v xml:space="preserve">AJUDANTE  DE OBRAS </v>
      </c>
      <c r="F35" s="69" t="s">
        <v>55</v>
      </c>
    </row>
    <row r="36" spans="1:6" x14ac:dyDescent="0.35">
      <c r="A36" s="67"/>
      <c r="B36" s="130"/>
      <c r="C36" s="209"/>
      <c r="D36" s="209"/>
      <c r="E36" s="131"/>
      <c r="F36" s="69"/>
    </row>
    <row r="37" spans="1:6" x14ac:dyDescent="0.35">
      <c r="A37" s="67"/>
      <c r="B37" s="130"/>
      <c r="C37" s="209"/>
      <c r="D37" s="209"/>
      <c r="E37" s="131"/>
      <c r="F37" s="69"/>
    </row>
    <row r="38" spans="1:6" x14ac:dyDescent="0.35">
      <c r="A38" s="67"/>
      <c r="B38" s="130"/>
      <c r="C38" s="209"/>
      <c r="D38" s="209"/>
      <c r="E38" s="131"/>
      <c r="F38" s="69"/>
    </row>
    <row r="39" spans="1:6" x14ac:dyDescent="0.35">
      <c r="A39" s="67"/>
      <c r="B39" s="130"/>
      <c r="C39" s="272"/>
      <c r="D39" s="273"/>
      <c r="E39" s="131"/>
      <c r="F39" s="69"/>
    </row>
    <row r="40" spans="1:6" x14ac:dyDescent="0.35">
      <c r="A40" s="67"/>
      <c r="B40" s="130"/>
      <c r="C40" s="272"/>
      <c r="D40" s="273"/>
      <c r="E40" s="131"/>
      <c r="F40" s="69"/>
    </row>
    <row r="41" spans="1:6" x14ac:dyDescent="0.35">
      <c r="A41" s="67"/>
      <c r="B41" s="130"/>
      <c r="C41" s="272"/>
      <c r="D41" s="273"/>
      <c r="E41" s="131"/>
      <c r="F41" s="69"/>
    </row>
    <row r="42" spans="1:6" x14ac:dyDescent="0.35">
      <c r="A42" s="67"/>
      <c r="B42" s="130"/>
      <c r="C42" s="272"/>
      <c r="D42" s="273"/>
      <c r="E42" s="131"/>
      <c r="F42" s="69"/>
    </row>
    <row r="43" spans="1:6" x14ac:dyDescent="0.35">
      <c r="A43" s="67"/>
      <c r="B43" s="46"/>
      <c r="C43" s="185"/>
      <c r="D43" s="185"/>
      <c r="E43" s="45"/>
      <c r="F43" s="69"/>
    </row>
    <row r="44" spans="1:6" x14ac:dyDescent="0.35">
      <c r="A44" s="67"/>
      <c r="B44" s="46"/>
      <c r="C44" s="185"/>
      <c r="D44" s="185"/>
      <c r="E44" s="45"/>
      <c r="F44" s="69"/>
    </row>
    <row r="45" spans="1:6" x14ac:dyDescent="0.35">
      <c r="A45" s="67"/>
      <c r="B45" s="46"/>
      <c r="C45" s="185"/>
      <c r="D45" s="185"/>
      <c r="E45" s="45"/>
      <c r="F45" s="69"/>
    </row>
    <row r="46" spans="1:6" x14ac:dyDescent="0.35">
      <c r="A46" s="67"/>
      <c r="B46" s="46"/>
      <c r="C46" s="185"/>
      <c r="D46" s="185"/>
      <c r="E46" s="45"/>
      <c r="F46" s="69"/>
    </row>
    <row r="47" spans="1:6" x14ac:dyDescent="0.35">
      <c r="A47" s="67"/>
      <c r="B47" s="46"/>
      <c r="C47" s="185"/>
      <c r="D47" s="185"/>
      <c r="E47" s="45"/>
      <c r="F47" s="69"/>
    </row>
    <row r="48" spans="1:6" x14ac:dyDescent="0.35">
      <c r="A48" s="67"/>
      <c r="B48" s="46"/>
      <c r="C48" s="186"/>
      <c r="D48" s="284"/>
      <c r="E48" s="45"/>
      <c r="F48" s="69"/>
    </row>
  </sheetData>
  <mergeCells count="24">
    <mergeCell ref="C48:D48"/>
    <mergeCell ref="C47:D47"/>
    <mergeCell ref="C1:E1"/>
    <mergeCell ref="C2:E2"/>
    <mergeCell ref="A1:B2"/>
    <mergeCell ref="C39:D39"/>
    <mergeCell ref="C38:D38"/>
    <mergeCell ref="C37:D37"/>
    <mergeCell ref="C36:D36"/>
    <mergeCell ref="C35:D35"/>
    <mergeCell ref="C46:D46"/>
    <mergeCell ref="C45:D45"/>
    <mergeCell ref="C44:D44"/>
    <mergeCell ref="C43:D43"/>
    <mergeCell ref="C42:D42"/>
    <mergeCell ref="F1:F2"/>
    <mergeCell ref="A4:E4"/>
    <mergeCell ref="A3:E3"/>
    <mergeCell ref="C41:D41"/>
    <mergeCell ref="C40:D40"/>
    <mergeCell ref="A6:E6"/>
    <mergeCell ref="A5:E5"/>
    <mergeCell ref="C34:D34"/>
    <mergeCell ref="A7:F32"/>
  </mergeCells>
  <pageMargins left="0.25" right="0.25" top="0.75" bottom="0.75" header="0.3" footer="0.3"/>
  <pageSetup paperSize="9" orientation="portrait" horizontalDpi="360"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2DC2F-B829-46D1-8D2B-E0E8F1DDB61C}">
  <dimension ref="C7:U70"/>
  <sheetViews>
    <sheetView topLeftCell="A20" zoomScale="70" zoomScaleNormal="70" workbookViewId="0">
      <selection activeCell="U12" sqref="U12"/>
    </sheetView>
  </sheetViews>
  <sheetFormatPr defaultRowHeight="14.5" x14ac:dyDescent="0.35"/>
  <cols>
    <col min="2" max="2" width="3.1796875" customWidth="1"/>
    <col min="4" max="4" width="7.81640625" customWidth="1"/>
    <col min="5" max="5" width="9.81640625" customWidth="1"/>
    <col min="6" max="6" width="6" customWidth="1"/>
    <col min="7" max="7" width="11.1796875" customWidth="1"/>
    <col min="8" max="8" width="1.81640625" customWidth="1"/>
    <col min="9" max="10" width="10.1796875" customWidth="1"/>
    <col min="11" max="11" width="11.81640625" customWidth="1"/>
    <col min="12" max="12" width="8.1796875" customWidth="1"/>
    <col min="13" max="13" width="1.81640625" customWidth="1"/>
    <col min="14" max="15" width="9.1796875" customWidth="1"/>
    <col min="16" max="16" width="4.1796875" customWidth="1"/>
    <col min="17" max="17" width="23.1796875" customWidth="1"/>
  </cols>
  <sheetData>
    <row r="7" spans="3:19" x14ac:dyDescent="0.35">
      <c r="C7" s="232" t="s">
        <v>135</v>
      </c>
      <c r="D7" s="232"/>
      <c r="E7" s="232"/>
      <c r="F7" s="232"/>
      <c r="G7" s="232"/>
      <c r="H7" s="232"/>
      <c r="I7" s="232"/>
      <c r="J7" s="232"/>
      <c r="K7" s="232"/>
      <c r="L7" s="232"/>
      <c r="M7" s="232"/>
      <c r="N7" s="232"/>
      <c r="O7" s="232"/>
      <c r="P7" s="232"/>
      <c r="Q7" s="232"/>
    </row>
    <row r="8" spans="3:19" ht="20.25" customHeight="1" x14ac:dyDescent="0.35">
      <c r="C8" s="232"/>
      <c r="D8" s="232"/>
      <c r="E8" s="232"/>
      <c r="F8" s="232"/>
      <c r="G8" s="232"/>
      <c r="H8" s="232"/>
      <c r="I8" s="232"/>
      <c r="J8" s="232"/>
      <c r="K8" s="232"/>
      <c r="L8" s="232"/>
      <c r="M8" s="232"/>
      <c r="N8" s="232"/>
      <c r="O8" s="232"/>
      <c r="P8" s="232"/>
      <c r="Q8" s="232"/>
    </row>
    <row r="9" spans="3:19" ht="20.25" customHeight="1" x14ac:dyDescent="0.35">
      <c r="C9" s="232"/>
      <c r="D9" s="232"/>
      <c r="E9" s="232"/>
      <c r="F9" s="232"/>
      <c r="G9" s="232"/>
      <c r="H9" s="232"/>
      <c r="I9" s="232"/>
      <c r="J9" s="232"/>
      <c r="K9" s="232"/>
      <c r="L9" s="232"/>
      <c r="M9" s="232"/>
      <c r="N9" s="232"/>
      <c r="O9" s="232"/>
      <c r="P9" s="232"/>
      <c r="Q9" s="232"/>
    </row>
    <row r="10" spans="3:19" ht="20" x14ac:dyDescent="0.4">
      <c r="C10" s="80"/>
      <c r="D10" s="80"/>
      <c r="E10" s="80"/>
      <c r="F10" s="80"/>
      <c r="G10" s="80"/>
      <c r="H10" s="80"/>
      <c r="I10" s="80"/>
      <c r="J10" s="80"/>
      <c r="K10" s="80"/>
      <c r="L10" s="80"/>
      <c r="M10" s="80"/>
      <c r="N10" s="80"/>
      <c r="O10" s="80"/>
      <c r="P10" s="80"/>
      <c r="Q10" s="80"/>
    </row>
    <row r="11" spans="3:19" ht="20" x14ac:dyDescent="0.4">
      <c r="C11" s="80"/>
      <c r="D11" s="80"/>
      <c r="E11" s="80"/>
      <c r="F11" s="80"/>
      <c r="G11" s="80"/>
      <c r="H11" s="80"/>
      <c r="I11" s="80"/>
      <c r="J11" s="80"/>
      <c r="K11" s="80"/>
      <c r="L11" s="80"/>
      <c r="M11" s="80"/>
      <c r="N11" s="80"/>
      <c r="O11" s="80"/>
      <c r="P11" s="80"/>
      <c r="Q11" s="80"/>
    </row>
    <row r="12" spans="3:19" ht="19" x14ac:dyDescent="0.4">
      <c r="C12" s="297" t="s">
        <v>592</v>
      </c>
      <c r="D12" s="297"/>
      <c r="E12" s="297"/>
      <c r="F12" s="297"/>
      <c r="G12" s="298" t="str">
        <f>'ORDEM DE SERVIÇO'!B9</f>
        <v>JOSE ANDRE DE SANTANA CRISPIM</v>
      </c>
      <c r="H12" s="298"/>
      <c r="I12" s="298"/>
      <c r="J12" s="298"/>
      <c r="K12" s="298"/>
      <c r="L12" s="298"/>
      <c r="M12" s="300" t="s">
        <v>132</v>
      </c>
      <c r="N12" s="300"/>
      <c r="O12" s="300"/>
      <c r="P12" s="300"/>
      <c r="Q12" s="153">
        <f>'ORDEM DE SERVIÇO'!B40</f>
        <v>3140099</v>
      </c>
    </row>
    <row r="13" spans="3:19" ht="19" x14ac:dyDescent="0.4">
      <c r="C13" s="299" t="s">
        <v>466</v>
      </c>
      <c r="D13" s="299"/>
      <c r="E13" s="299"/>
      <c r="F13" s="299"/>
      <c r="G13" s="299"/>
      <c r="H13" s="299"/>
      <c r="I13" s="299"/>
      <c r="J13" s="299"/>
      <c r="K13" s="299"/>
      <c r="L13" s="299"/>
      <c r="M13" s="299"/>
      <c r="N13" s="299"/>
      <c r="O13" s="299"/>
      <c r="P13" s="299"/>
      <c r="Q13" s="299"/>
    </row>
    <row r="14" spans="3:19" ht="19" x14ac:dyDescent="0.4">
      <c r="C14" s="297" t="s">
        <v>465</v>
      </c>
      <c r="D14" s="297"/>
      <c r="E14" s="297"/>
      <c r="F14" s="297"/>
      <c r="G14" s="297"/>
      <c r="H14" s="297"/>
      <c r="I14" s="297"/>
      <c r="J14" s="297"/>
      <c r="K14" s="297"/>
      <c r="L14" s="297"/>
      <c r="M14" s="297"/>
      <c r="N14" s="297"/>
      <c r="O14" s="297"/>
      <c r="P14" s="297"/>
      <c r="Q14" s="154">
        <v>46259</v>
      </c>
    </row>
    <row r="15" spans="3:19" ht="19" x14ac:dyDescent="0.4">
      <c r="C15" s="297" t="s">
        <v>611</v>
      </c>
      <c r="D15" s="297"/>
      <c r="E15" s="297"/>
      <c r="F15" s="297"/>
      <c r="G15" s="297"/>
      <c r="H15" s="297"/>
      <c r="I15" s="297"/>
      <c r="J15" s="297"/>
      <c r="K15" s="297"/>
      <c r="L15" s="297"/>
      <c r="M15" s="297"/>
      <c r="N15" s="297"/>
      <c r="O15" s="297"/>
      <c r="P15" s="297"/>
      <c r="Q15" s="297"/>
    </row>
    <row r="16" spans="3:19" ht="19" x14ac:dyDescent="0.4">
      <c r="C16" s="299" t="s">
        <v>133</v>
      </c>
      <c r="D16" s="299"/>
      <c r="E16" s="299"/>
      <c r="F16" s="299"/>
      <c r="G16" s="299"/>
      <c r="H16" s="299"/>
      <c r="I16" s="299"/>
      <c r="J16" s="299"/>
      <c r="K16" s="299"/>
      <c r="L16" s="299"/>
      <c r="M16" s="299"/>
      <c r="N16" s="299"/>
      <c r="O16" s="299"/>
      <c r="P16" s="299"/>
      <c r="Q16" s="299"/>
      <c r="S16" t="s">
        <v>91</v>
      </c>
    </row>
    <row r="17" spans="3:17" ht="15.5" x14ac:dyDescent="0.35">
      <c r="C17" s="258" t="s">
        <v>612</v>
      </c>
      <c r="D17" s="258"/>
      <c r="E17" s="258"/>
      <c r="F17" s="258"/>
      <c r="G17" s="258"/>
      <c r="H17" s="258"/>
      <c r="I17" s="258"/>
      <c r="J17" s="258"/>
      <c r="K17" s="258"/>
      <c r="L17" s="258"/>
      <c r="M17" s="258"/>
      <c r="N17" s="258"/>
      <c r="O17" s="258"/>
      <c r="P17" s="258"/>
      <c r="Q17" s="258"/>
    </row>
    <row r="18" spans="3:17" ht="19" x14ac:dyDescent="0.4">
      <c r="C18" s="297" t="s">
        <v>467</v>
      </c>
      <c r="D18" s="297"/>
      <c r="E18" s="297"/>
      <c r="F18" s="297"/>
      <c r="G18" s="297"/>
      <c r="H18" s="297"/>
      <c r="I18" s="297"/>
      <c r="J18" s="297"/>
      <c r="K18" s="297"/>
      <c r="L18" s="297"/>
      <c r="M18" s="297"/>
      <c r="N18" s="297"/>
      <c r="O18" s="297"/>
      <c r="P18" s="297"/>
      <c r="Q18" s="297"/>
    </row>
    <row r="19" spans="3:17" ht="19" x14ac:dyDescent="0.4">
      <c r="C19" s="295" t="s">
        <v>613</v>
      </c>
      <c r="D19" s="295"/>
      <c r="E19" s="295"/>
      <c r="F19" s="296">
        <f>Q14</f>
        <v>46259</v>
      </c>
      <c r="G19" s="296"/>
      <c r="H19" s="296"/>
      <c r="I19" s="296"/>
      <c r="J19" s="155"/>
      <c r="K19" s="155"/>
      <c r="L19" s="155"/>
      <c r="M19" s="155"/>
      <c r="N19" s="155"/>
      <c r="O19" s="155"/>
      <c r="P19" s="155"/>
      <c r="Q19" s="155"/>
    </row>
    <row r="20" spans="3:17" ht="20" x14ac:dyDescent="0.4">
      <c r="C20" s="80"/>
      <c r="D20" s="80"/>
      <c r="E20" s="80"/>
      <c r="F20" s="80"/>
      <c r="G20" s="80"/>
      <c r="H20" s="80"/>
      <c r="I20" s="80"/>
      <c r="J20" s="80"/>
      <c r="K20" s="80"/>
      <c r="L20" s="80"/>
      <c r="M20" s="80"/>
      <c r="N20" s="80"/>
      <c r="O20" s="80"/>
      <c r="P20" s="80"/>
      <c r="Q20" s="80"/>
    </row>
    <row r="21" spans="3:17" ht="20" x14ac:dyDescent="0.4">
      <c r="C21" s="80"/>
      <c r="D21" s="80"/>
      <c r="E21" s="80"/>
      <c r="F21" s="80"/>
      <c r="G21" s="80"/>
      <c r="H21" s="80"/>
      <c r="I21" s="80"/>
      <c r="J21" s="80"/>
      <c r="K21" s="80"/>
      <c r="L21" s="80"/>
      <c r="M21" s="80"/>
      <c r="N21" s="80"/>
      <c r="O21" s="80"/>
      <c r="P21" s="80"/>
      <c r="Q21" s="80"/>
    </row>
    <row r="22" spans="3:17" ht="20" x14ac:dyDescent="0.4">
      <c r="C22" s="80"/>
      <c r="D22" s="80"/>
      <c r="E22" s="80"/>
      <c r="F22" s="80"/>
      <c r="G22" s="80"/>
      <c r="H22" s="80"/>
      <c r="I22" s="80"/>
      <c r="J22" s="80"/>
      <c r="K22" s="80"/>
      <c r="L22" s="80"/>
      <c r="M22" s="80"/>
      <c r="N22" s="80"/>
      <c r="O22" s="80"/>
      <c r="P22" s="80"/>
      <c r="Q22" s="80"/>
    </row>
    <row r="23" spans="3:17" ht="20" x14ac:dyDescent="0.4">
      <c r="C23" s="80"/>
      <c r="D23" s="80"/>
      <c r="E23" s="80"/>
      <c r="F23" s="80"/>
      <c r="G23" s="80"/>
      <c r="H23" s="80"/>
      <c r="I23" s="80"/>
      <c r="J23" s="80"/>
      <c r="K23" s="80"/>
      <c r="L23" s="80"/>
      <c r="M23" s="80"/>
      <c r="N23" s="80"/>
      <c r="O23" s="80"/>
      <c r="P23" s="80"/>
      <c r="Q23" s="80"/>
    </row>
    <row r="24" spans="3:17" ht="20" x14ac:dyDescent="0.4">
      <c r="C24" s="80"/>
      <c r="D24" s="80"/>
      <c r="E24" s="80"/>
      <c r="F24" s="80"/>
      <c r="G24" s="80"/>
      <c r="H24" s="80"/>
      <c r="I24" s="80"/>
      <c r="J24" s="80"/>
      <c r="K24" s="80"/>
      <c r="L24" s="80"/>
      <c r="M24" s="80"/>
      <c r="N24" s="80"/>
      <c r="O24" s="80"/>
      <c r="P24" s="80"/>
      <c r="Q24" s="80"/>
    </row>
    <row r="25" spans="3:17" x14ac:dyDescent="0.35">
      <c r="C25" s="227" t="s">
        <v>452</v>
      </c>
      <c r="D25" s="227"/>
      <c r="E25" s="227"/>
      <c r="F25" s="227"/>
      <c r="G25" s="227"/>
      <c r="H25" s="82"/>
      <c r="I25" s="227"/>
      <c r="J25" s="227"/>
      <c r="K25" s="227"/>
      <c r="L25" s="227"/>
      <c r="M25" s="227"/>
      <c r="N25" s="227" t="str">
        <f>'ORDEM DE SERVIÇO'!B39</f>
        <v>JOSE ANDRE DE SANTANA CRISPIM</v>
      </c>
      <c r="O25" s="227"/>
      <c r="P25" s="227"/>
      <c r="Q25" s="227"/>
    </row>
    <row r="26" spans="3:17" x14ac:dyDescent="0.35">
      <c r="C26" s="228" t="s">
        <v>206</v>
      </c>
      <c r="D26" s="228"/>
      <c r="E26" s="228"/>
      <c r="F26" s="228"/>
      <c r="G26" s="228"/>
      <c r="H26" s="82"/>
      <c r="I26" s="228"/>
      <c r="J26" s="228"/>
      <c r="K26" s="228"/>
      <c r="L26" s="228"/>
      <c r="M26" s="228"/>
      <c r="N26" s="228" t="str">
        <f>'ORDEM DE SERVIÇO'!B41</f>
        <v xml:space="preserve">AJUDANTE  DE OBRAS </v>
      </c>
      <c r="O26" s="228"/>
      <c r="P26" s="228"/>
      <c r="Q26" s="228"/>
    </row>
    <row r="27" spans="3:17" x14ac:dyDescent="0.35">
      <c r="C27" s="228" t="s">
        <v>514</v>
      </c>
      <c r="D27" s="228"/>
      <c r="E27" s="228"/>
      <c r="F27" s="228"/>
      <c r="G27" s="228"/>
      <c r="H27" s="82"/>
      <c r="I27" s="228"/>
      <c r="J27" s="228"/>
      <c r="K27" s="228"/>
      <c r="L27" s="228"/>
      <c r="M27" s="228"/>
      <c r="N27" s="228"/>
      <c r="O27" s="228"/>
      <c r="P27" s="228"/>
      <c r="Q27" s="228"/>
    </row>
    <row r="28" spans="3:17" ht="15.5" x14ac:dyDescent="0.35">
      <c r="C28" s="228"/>
      <c r="D28" s="228"/>
      <c r="E28" s="228"/>
      <c r="F28" s="228"/>
      <c r="G28" s="228"/>
      <c r="H28" s="83"/>
      <c r="I28" s="228"/>
      <c r="J28" s="228"/>
      <c r="K28" s="228"/>
      <c r="L28" s="228"/>
      <c r="M28" s="79"/>
      <c r="N28" s="79"/>
      <c r="O28" s="222"/>
      <c r="P28" s="222"/>
      <c r="Q28" s="222"/>
    </row>
    <row r="29" spans="3:17" ht="15.5" x14ac:dyDescent="0.35">
      <c r="C29" s="79"/>
      <c r="D29" s="79"/>
      <c r="E29" s="79"/>
      <c r="F29" s="79"/>
      <c r="G29" s="79"/>
      <c r="H29" s="79"/>
      <c r="I29" s="79"/>
      <c r="J29" s="79"/>
      <c r="K29" s="79"/>
      <c r="L29" s="79"/>
      <c r="M29" s="79"/>
      <c r="N29" s="79"/>
      <c r="O29" s="222"/>
      <c r="P29" s="222"/>
      <c r="Q29" s="222"/>
    </row>
    <row r="30" spans="3:17" ht="15.5" x14ac:dyDescent="0.35">
      <c r="C30" s="79"/>
      <c r="D30" s="79"/>
      <c r="E30" s="79"/>
      <c r="F30" s="79"/>
      <c r="G30" s="79"/>
      <c r="H30" s="79"/>
      <c r="I30" s="79"/>
      <c r="J30" s="79"/>
      <c r="K30" s="79"/>
      <c r="L30" s="79"/>
      <c r="M30" s="79"/>
      <c r="N30" s="79"/>
      <c r="O30" s="222"/>
      <c r="P30" s="222"/>
      <c r="Q30" s="222"/>
    </row>
    <row r="32" spans="3:17" ht="15" customHeight="1" x14ac:dyDescent="0.35"/>
    <row r="40" spans="3:21" ht="15" customHeight="1" x14ac:dyDescent="0.35">
      <c r="C40" s="232" t="s">
        <v>135</v>
      </c>
      <c r="D40" s="232"/>
      <c r="E40" s="232"/>
      <c r="F40" s="232"/>
      <c r="G40" s="232"/>
      <c r="H40" s="232"/>
      <c r="I40" s="232"/>
      <c r="J40" s="232"/>
      <c r="K40" s="232"/>
      <c r="L40" s="232"/>
      <c r="M40" s="232"/>
      <c r="N40" s="232"/>
      <c r="O40" s="232"/>
      <c r="P40" s="232"/>
      <c r="Q40" s="232"/>
      <c r="R40" s="81"/>
      <c r="S40" s="81"/>
    </row>
    <row r="41" spans="3:21" ht="15" customHeight="1" x14ac:dyDescent="0.35">
      <c r="C41" s="232"/>
      <c r="D41" s="232"/>
      <c r="E41" s="232"/>
      <c r="F41" s="232"/>
      <c r="G41" s="232"/>
      <c r="H41" s="232"/>
      <c r="I41" s="232"/>
      <c r="J41" s="232"/>
      <c r="K41" s="232"/>
      <c r="L41" s="232"/>
      <c r="M41" s="232"/>
      <c r="N41" s="232"/>
      <c r="O41" s="232"/>
      <c r="P41" s="232"/>
      <c r="Q41" s="232"/>
      <c r="R41" s="81"/>
      <c r="S41" s="81"/>
    </row>
    <row r="42" spans="3:21" ht="15" customHeight="1" x14ac:dyDescent="0.35">
      <c r="C42" s="232"/>
      <c r="D42" s="232"/>
      <c r="E42" s="232"/>
      <c r="F42" s="232"/>
      <c r="G42" s="232"/>
      <c r="H42" s="232"/>
      <c r="I42" s="232"/>
      <c r="J42" s="232"/>
      <c r="K42" s="232"/>
      <c r="L42" s="232"/>
      <c r="M42" s="232"/>
      <c r="N42" s="232"/>
      <c r="O42" s="232"/>
      <c r="P42" s="232"/>
      <c r="Q42" s="232"/>
      <c r="R42" s="81"/>
      <c r="S42" s="81" t="s">
        <v>91</v>
      </c>
    </row>
    <row r="46" spans="3:21" ht="15" customHeight="1" x14ac:dyDescent="0.35">
      <c r="C46" s="301" t="s">
        <v>138</v>
      </c>
      <c r="D46" s="301"/>
      <c r="E46" s="301"/>
      <c r="F46" s="301"/>
      <c r="G46" s="301"/>
      <c r="H46" s="301"/>
      <c r="I46" s="301"/>
      <c r="J46" s="301"/>
      <c r="K46" s="301"/>
      <c r="L46" s="301"/>
      <c r="M46" s="301"/>
      <c r="N46" s="301"/>
      <c r="O46" s="301"/>
      <c r="P46" s="301"/>
      <c r="Q46" s="301"/>
      <c r="R46" s="77"/>
    </row>
    <row r="47" spans="3:21" ht="15" customHeight="1" x14ac:dyDescent="0.35">
      <c r="C47" s="301"/>
      <c r="D47" s="301"/>
      <c r="E47" s="301"/>
      <c r="F47" s="301"/>
      <c r="G47" s="301"/>
      <c r="H47" s="301"/>
      <c r="I47" s="301"/>
      <c r="J47" s="301"/>
      <c r="K47" s="301"/>
      <c r="L47" s="301"/>
      <c r="M47" s="301"/>
      <c r="N47" s="301"/>
      <c r="O47" s="301"/>
      <c r="P47" s="301"/>
      <c r="Q47" s="301"/>
      <c r="R47" s="77"/>
      <c r="U47" t="s">
        <v>91</v>
      </c>
    </row>
    <row r="48" spans="3:21" ht="15" customHeight="1" x14ac:dyDescent="0.35">
      <c r="C48" s="301"/>
      <c r="D48" s="301"/>
      <c r="E48" s="301"/>
      <c r="F48" s="301"/>
      <c r="G48" s="301"/>
      <c r="H48" s="301"/>
      <c r="I48" s="301"/>
      <c r="J48" s="301"/>
      <c r="K48" s="301"/>
      <c r="L48" s="301"/>
      <c r="M48" s="301"/>
      <c r="N48" s="301"/>
      <c r="O48" s="301"/>
      <c r="P48" s="301"/>
      <c r="Q48" s="301"/>
      <c r="R48" s="77"/>
    </row>
    <row r="49" spans="3:20" ht="15" customHeight="1" x14ac:dyDescent="0.35">
      <c r="C49" s="301"/>
      <c r="D49" s="301"/>
      <c r="E49" s="301"/>
      <c r="F49" s="301"/>
      <c r="G49" s="301"/>
      <c r="H49" s="301"/>
      <c r="I49" s="301"/>
      <c r="J49" s="301"/>
      <c r="K49" s="301"/>
      <c r="L49" s="301"/>
      <c r="M49" s="301"/>
      <c r="N49" s="301"/>
      <c r="O49" s="301"/>
      <c r="P49" s="301"/>
      <c r="Q49" s="301"/>
      <c r="R49" s="77"/>
    </row>
    <row r="50" spans="3:20" ht="15" customHeight="1" x14ac:dyDescent="0.35">
      <c r="C50" s="85"/>
      <c r="D50" s="85"/>
      <c r="E50" s="85"/>
      <c r="F50" s="85"/>
      <c r="G50" s="85"/>
      <c r="H50" s="85"/>
      <c r="I50" s="85"/>
      <c r="J50" s="85"/>
      <c r="K50" s="85"/>
      <c r="L50" s="85"/>
      <c r="M50" s="85"/>
      <c r="N50" s="85"/>
      <c r="O50" s="85"/>
      <c r="P50" s="85"/>
      <c r="Q50" s="85"/>
      <c r="R50" s="77"/>
    </row>
    <row r="51" spans="3:20" ht="15" customHeight="1" x14ac:dyDescent="0.35">
      <c r="C51" s="301" t="s">
        <v>233</v>
      </c>
      <c r="D51" s="301"/>
      <c r="E51" s="301"/>
      <c r="F51" s="301"/>
      <c r="G51" s="301"/>
      <c r="H51" s="301"/>
      <c r="I51" s="301"/>
      <c r="J51" s="301"/>
      <c r="K51" s="301"/>
      <c r="L51" s="301"/>
      <c r="M51" s="301"/>
      <c r="N51" s="301"/>
      <c r="O51" s="301"/>
      <c r="P51" s="301"/>
      <c r="Q51" s="301"/>
      <c r="R51" s="77"/>
    </row>
    <row r="52" spans="3:20" ht="15" customHeight="1" x14ac:dyDescent="0.35">
      <c r="C52" s="301"/>
      <c r="D52" s="301"/>
      <c r="E52" s="301"/>
      <c r="F52" s="301"/>
      <c r="G52" s="301"/>
      <c r="H52" s="301"/>
      <c r="I52" s="301"/>
      <c r="J52" s="301"/>
      <c r="K52" s="301"/>
      <c r="L52" s="301"/>
      <c r="M52" s="301"/>
      <c r="N52" s="301"/>
      <c r="O52" s="301"/>
      <c r="P52" s="301"/>
      <c r="Q52" s="301"/>
      <c r="R52" s="77"/>
    </row>
    <row r="53" spans="3:20" ht="15" customHeight="1" x14ac:dyDescent="0.35">
      <c r="C53" s="301"/>
      <c r="D53" s="301"/>
      <c r="E53" s="301"/>
      <c r="F53" s="301"/>
      <c r="G53" s="301"/>
      <c r="H53" s="301"/>
      <c r="I53" s="301"/>
      <c r="J53" s="301"/>
      <c r="K53" s="301"/>
      <c r="L53" s="301"/>
      <c r="M53" s="301"/>
      <c r="N53" s="301"/>
      <c r="O53" s="301"/>
      <c r="P53" s="301"/>
      <c r="Q53" s="301"/>
      <c r="R53" s="77"/>
    </row>
    <row r="54" spans="3:20" ht="15" customHeight="1" x14ac:dyDescent="0.35">
      <c r="C54" s="301" t="s">
        <v>362</v>
      </c>
      <c r="D54" s="301"/>
      <c r="E54" s="301"/>
      <c r="F54" s="301"/>
      <c r="G54" s="301"/>
      <c r="H54" s="301"/>
      <c r="I54" s="301"/>
      <c r="J54" s="301"/>
      <c r="K54" s="301"/>
      <c r="L54" s="301"/>
      <c r="M54" s="301"/>
      <c r="N54" s="301"/>
      <c r="O54" s="301"/>
      <c r="P54" s="301"/>
      <c r="Q54" s="301"/>
      <c r="R54" s="77"/>
    </row>
    <row r="55" spans="3:20" ht="15" customHeight="1" x14ac:dyDescent="0.35">
      <c r="C55" s="301"/>
      <c r="D55" s="301"/>
      <c r="E55" s="301"/>
      <c r="F55" s="301"/>
      <c r="G55" s="301"/>
      <c r="H55" s="301"/>
      <c r="I55" s="301"/>
      <c r="J55" s="301"/>
      <c r="K55" s="301"/>
      <c r="L55" s="301"/>
      <c r="M55" s="301"/>
      <c r="N55" s="301"/>
      <c r="O55" s="301"/>
      <c r="P55" s="301"/>
      <c r="Q55" s="301"/>
      <c r="R55" s="77"/>
    </row>
    <row r="56" spans="3:20" ht="15" customHeight="1" x14ac:dyDescent="0.35">
      <c r="C56" s="301"/>
      <c r="D56" s="301"/>
      <c r="E56" s="301"/>
      <c r="F56" s="301"/>
      <c r="G56" s="301"/>
      <c r="H56" s="301"/>
      <c r="I56" s="301"/>
      <c r="J56" s="301"/>
      <c r="K56" s="301"/>
      <c r="L56" s="301"/>
      <c r="M56" s="301"/>
      <c r="N56" s="301"/>
      <c r="O56" s="301"/>
      <c r="P56" s="301"/>
      <c r="Q56" s="301"/>
      <c r="R56" s="77"/>
    </row>
    <row r="57" spans="3:20" ht="54" customHeight="1" x14ac:dyDescent="0.35">
      <c r="C57" s="301"/>
      <c r="D57" s="301"/>
      <c r="E57" s="301"/>
      <c r="F57" s="301"/>
      <c r="G57" s="301"/>
      <c r="H57" s="301"/>
      <c r="I57" s="301"/>
      <c r="J57" s="301"/>
      <c r="K57" s="301"/>
      <c r="L57" s="301"/>
      <c r="M57" s="301"/>
      <c r="N57" s="301"/>
      <c r="O57" s="301"/>
      <c r="P57" s="301"/>
      <c r="Q57" s="301"/>
      <c r="R57" s="77"/>
      <c r="T57" t="s">
        <v>91</v>
      </c>
    </row>
    <row r="58" spans="3:20" ht="15" customHeight="1" x14ac:dyDescent="0.35">
      <c r="C58" s="87"/>
      <c r="D58" s="85"/>
      <c r="E58" s="85"/>
      <c r="F58" s="85"/>
      <c r="G58" s="85"/>
      <c r="H58" s="85"/>
      <c r="I58" s="85"/>
      <c r="J58" s="85"/>
      <c r="K58" s="85"/>
      <c r="L58" s="85"/>
      <c r="M58" s="85"/>
      <c r="N58" s="85"/>
      <c r="O58" s="85"/>
      <c r="P58" s="85"/>
      <c r="Q58" s="85"/>
      <c r="R58" s="77"/>
    </row>
    <row r="59" spans="3:20" ht="15" customHeight="1" x14ac:dyDescent="0.35">
      <c r="C59" s="302" t="s">
        <v>617</v>
      </c>
      <c r="D59" s="302"/>
      <c r="E59" s="302"/>
      <c r="F59" s="302"/>
      <c r="G59" s="302"/>
      <c r="H59" s="302"/>
      <c r="I59" s="302"/>
      <c r="J59" s="302"/>
      <c r="K59" s="302"/>
      <c r="L59" s="302"/>
      <c r="M59" s="302"/>
      <c r="N59" s="302"/>
      <c r="O59" s="302"/>
      <c r="P59" s="302"/>
      <c r="Q59" s="302"/>
      <c r="R59" s="77"/>
    </row>
    <row r="60" spans="3:20" ht="15" customHeight="1" x14ac:dyDescent="0.35">
      <c r="C60" s="302"/>
      <c r="D60" s="302"/>
      <c r="E60" s="302"/>
      <c r="F60" s="302"/>
      <c r="G60" s="302"/>
      <c r="H60" s="302"/>
      <c r="I60" s="302"/>
      <c r="J60" s="302"/>
      <c r="K60" s="302"/>
      <c r="L60" s="302"/>
      <c r="M60" s="302"/>
      <c r="N60" s="302"/>
      <c r="O60" s="302"/>
      <c r="P60" s="302"/>
      <c r="Q60" s="302"/>
      <c r="R60" s="77"/>
    </row>
    <row r="61" spans="3:20" ht="15" customHeight="1" x14ac:dyDescent="0.35">
      <c r="C61" s="302"/>
      <c r="D61" s="302"/>
      <c r="E61" s="302"/>
      <c r="F61" s="302"/>
      <c r="G61" s="302"/>
      <c r="H61" s="302"/>
      <c r="I61" s="302"/>
      <c r="J61" s="302"/>
      <c r="K61" s="302"/>
      <c r="L61" s="302"/>
      <c r="M61" s="302"/>
      <c r="N61" s="302"/>
      <c r="O61" s="302"/>
      <c r="P61" s="302"/>
      <c r="Q61" s="302"/>
      <c r="R61" s="77"/>
    </row>
    <row r="62" spans="3:20" ht="15" customHeight="1" x14ac:dyDescent="0.35">
      <c r="C62" s="302"/>
      <c r="D62" s="302"/>
      <c r="E62" s="302"/>
      <c r="F62" s="302"/>
      <c r="G62" s="302"/>
      <c r="H62" s="302"/>
      <c r="I62" s="302"/>
      <c r="J62" s="302"/>
      <c r="K62" s="302"/>
      <c r="L62" s="302"/>
      <c r="M62" s="302"/>
      <c r="N62" s="302"/>
      <c r="O62" s="302"/>
      <c r="P62" s="302"/>
      <c r="Q62" s="302"/>
      <c r="R62" s="77"/>
    </row>
    <row r="63" spans="3:20" ht="29.5" customHeight="1" x14ac:dyDescent="0.35">
      <c r="C63" s="302"/>
      <c r="D63" s="302"/>
      <c r="E63" s="302"/>
      <c r="F63" s="302"/>
      <c r="G63" s="302"/>
      <c r="H63" s="302"/>
      <c r="I63" s="302"/>
      <c r="J63" s="302"/>
      <c r="K63" s="302"/>
      <c r="L63" s="302"/>
      <c r="M63" s="302"/>
      <c r="N63" s="302"/>
      <c r="O63" s="302"/>
      <c r="P63" s="302"/>
      <c r="Q63" s="302"/>
      <c r="R63" s="77"/>
    </row>
    <row r="64" spans="3:20" ht="15" customHeight="1" x14ac:dyDescent="0.35">
      <c r="C64" s="84"/>
      <c r="D64" s="84"/>
      <c r="E64" s="84"/>
      <c r="F64" s="84"/>
      <c r="G64" s="84"/>
      <c r="H64" s="84"/>
      <c r="I64" s="227" t="s">
        <v>452</v>
      </c>
      <c r="J64" s="227"/>
      <c r="K64" s="227"/>
      <c r="L64" s="227"/>
      <c r="M64" s="227"/>
      <c r="N64" s="227" t="str">
        <f>'ORDEM DE SERVIÇO'!B9</f>
        <v>JOSE ANDRE DE SANTANA CRISPIM</v>
      </c>
      <c r="O64" s="227"/>
      <c r="P64" s="227"/>
      <c r="Q64" s="227"/>
      <c r="R64" s="77"/>
    </row>
    <row r="65" spans="3:18" ht="15" customHeight="1" x14ac:dyDescent="0.35">
      <c r="C65" s="222"/>
      <c r="D65" s="222"/>
      <c r="E65" s="222"/>
      <c r="F65" s="84"/>
      <c r="G65" s="84"/>
      <c r="H65" s="84"/>
      <c r="I65" s="228" t="s">
        <v>206</v>
      </c>
      <c r="J65" s="228"/>
      <c r="K65" s="228"/>
      <c r="L65" s="228"/>
      <c r="M65" s="228"/>
      <c r="N65" s="228" t="str">
        <f>'ORDEM DE SERVIÇO'!D9</f>
        <v xml:space="preserve">AJUDANTE  DE OBRAS </v>
      </c>
      <c r="O65" s="228"/>
      <c r="P65" s="228"/>
      <c r="Q65" s="228"/>
      <c r="R65" s="77"/>
    </row>
    <row r="66" spans="3:18" ht="15.5" x14ac:dyDescent="0.35">
      <c r="C66" s="222"/>
      <c r="D66" s="222"/>
      <c r="E66" s="222"/>
      <c r="F66" s="77"/>
      <c r="G66" s="77"/>
      <c r="H66" s="77"/>
      <c r="I66" s="228" t="s">
        <v>463</v>
      </c>
      <c r="J66" s="228"/>
      <c r="K66" s="228"/>
      <c r="L66" s="228"/>
      <c r="M66" s="228"/>
      <c r="N66" s="77"/>
      <c r="O66" s="222"/>
      <c r="P66" s="222"/>
      <c r="Q66" s="222"/>
      <c r="R66" s="77"/>
    </row>
    <row r="67" spans="3:18" ht="15.5" x14ac:dyDescent="0.35">
      <c r="C67" s="142"/>
      <c r="D67" s="142"/>
      <c r="E67" s="142"/>
      <c r="F67" s="77"/>
      <c r="G67" s="77"/>
      <c r="H67" s="77"/>
      <c r="I67" s="228" t="s">
        <v>158</v>
      </c>
      <c r="J67" s="228"/>
      <c r="K67" s="228"/>
      <c r="L67" s="228"/>
      <c r="M67" s="228"/>
      <c r="N67" s="77"/>
      <c r="O67" s="222"/>
      <c r="P67" s="222"/>
      <c r="Q67" s="222"/>
      <c r="R67" s="77"/>
    </row>
    <row r="68" spans="3:18" ht="15.5" x14ac:dyDescent="0.35">
      <c r="C68" s="77"/>
      <c r="D68" s="77"/>
      <c r="E68" s="77"/>
      <c r="F68" s="77"/>
      <c r="G68" s="77"/>
      <c r="H68" s="77"/>
      <c r="I68" s="77"/>
      <c r="J68" s="77"/>
      <c r="K68" s="77"/>
      <c r="L68" s="77"/>
      <c r="M68" s="77"/>
      <c r="N68" s="77"/>
      <c r="O68" s="222"/>
      <c r="P68" s="222"/>
      <c r="Q68" s="222"/>
      <c r="R68" s="77"/>
    </row>
    <row r="69" spans="3:18" ht="15.5" x14ac:dyDescent="0.35">
      <c r="C69" s="77"/>
      <c r="D69" s="77"/>
      <c r="E69" s="77"/>
      <c r="F69" s="77"/>
      <c r="G69" s="77"/>
      <c r="H69" s="77"/>
      <c r="I69" s="77"/>
      <c r="J69" s="77"/>
      <c r="K69" s="77"/>
      <c r="L69" s="77"/>
      <c r="M69" s="77"/>
      <c r="N69" s="77"/>
      <c r="O69" s="222"/>
      <c r="P69" s="222"/>
      <c r="Q69" s="222"/>
      <c r="R69" s="77"/>
    </row>
    <row r="70" spans="3:18" ht="15.5" x14ac:dyDescent="0.35">
      <c r="O70" s="222"/>
      <c r="P70" s="222"/>
      <c r="Q70" s="222"/>
    </row>
  </sheetData>
  <mergeCells count="44">
    <mergeCell ref="C18:Q18"/>
    <mergeCell ref="C28:G28"/>
    <mergeCell ref="I28:L28"/>
    <mergeCell ref="C25:G25"/>
    <mergeCell ref="C26:G26"/>
    <mergeCell ref="C46:Q49"/>
    <mergeCell ref="C27:G27"/>
    <mergeCell ref="N25:Q25"/>
    <mergeCell ref="N26:Q26"/>
    <mergeCell ref="I25:M25"/>
    <mergeCell ref="I26:M26"/>
    <mergeCell ref="I27:M27"/>
    <mergeCell ref="C51:Q53"/>
    <mergeCell ref="C54:Q57"/>
    <mergeCell ref="C59:Q63"/>
    <mergeCell ref="N64:Q64"/>
    <mergeCell ref="I64:M64"/>
    <mergeCell ref="C7:Q9"/>
    <mergeCell ref="C14:P14"/>
    <mergeCell ref="C15:Q15"/>
    <mergeCell ref="C16:Q16"/>
    <mergeCell ref="C17:Q17"/>
    <mergeCell ref="O69:Q69"/>
    <mergeCell ref="O70:Q70"/>
    <mergeCell ref="C19:E19"/>
    <mergeCell ref="F19:I19"/>
    <mergeCell ref="C12:F12"/>
    <mergeCell ref="G12:L12"/>
    <mergeCell ref="C13:Q13"/>
    <mergeCell ref="M12:P12"/>
    <mergeCell ref="N27:Q27"/>
    <mergeCell ref="C40:Q42"/>
    <mergeCell ref="O28:Q28"/>
    <mergeCell ref="O29:Q29"/>
    <mergeCell ref="O30:Q30"/>
    <mergeCell ref="C65:E65"/>
    <mergeCell ref="C66:E66"/>
    <mergeCell ref="I66:M66"/>
    <mergeCell ref="I67:M67"/>
    <mergeCell ref="O68:Q68"/>
    <mergeCell ref="O66:Q66"/>
    <mergeCell ref="O67:Q67"/>
    <mergeCell ref="N65:Q65"/>
    <mergeCell ref="I65:M65"/>
  </mergeCells>
  <pageMargins left="0.23622047244094491" right="0.23622047244094491" top="0.35433070866141736" bottom="0.35433070866141736" header="0.31496062992125984" footer="0.31496062992125984"/>
  <pageSetup paperSize="9" scale="97" orientation="landscape" horizontalDpi="360" verticalDpi="36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zoomScale="85" zoomScaleNormal="85" zoomScaleSheetLayoutView="90" workbookViewId="0">
      <selection activeCell="H8" sqref="H8"/>
    </sheetView>
  </sheetViews>
  <sheetFormatPr defaultRowHeight="14.5" x14ac:dyDescent="0.35"/>
  <cols>
    <col min="1" max="1" width="18" bestFit="1" customWidth="1"/>
    <col min="2" max="2" width="41.1796875" customWidth="1"/>
    <col min="3" max="3" width="9.81640625" customWidth="1"/>
    <col min="4" max="4" width="35.81640625" customWidth="1"/>
  </cols>
  <sheetData>
    <row r="1" spans="1:7" ht="48" customHeight="1" x14ac:dyDescent="0.35">
      <c r="A1" s="329" t="s">
        <v>614</v>
      </c>
      <c r="B1" s="329"/>
      <c r="C1" s="329"/>
      <c r="D1" s="329"/>
    </row>
    <row r="2" spans="1:7" x14ac:dyDescent="0.35">
      <c r="A2" s="328" t="s">
        <v>95</v>
      </c>
      <c r="B2" s="328"/>
      <c r="C2" s="328"/>
      <c r="D2" s="328"/>
    </row>
    <row r="3" spans="1:7" x14ac:dyDescent="0.35">
      <c r="A3" s="328" t="s">
        <v>96</v>
      </c>
      <c r="B3" s="328"/>
      <c r="C3" s="328"/>
      <c r="D3" s="328"/>
    </row>
    <row r="4" spans="1:7" ht="39.75" customHeight="1" thickBot="1" x14ac:dyDescent="0.4">
      <c r="A4" s="342" t="s">
        <v>16</v>
      </c>
      <c r="B4" s="342"/>
      <c r="C4" s="342"/>
      <c r="D4" s="342"/>
    </row>
    <row r="5" spans="1:7" ht="15" thickBot="1" x14ac:dyDescent="0.4">
      <c r="A5" s="343" t="s">
        <v>4</v>
      </c>
      <c r="B5" s="344"/>
      <c r="C5" s="344"/>
      <c r="D5" s="345"/>
    </row>
    <row r="6" spans="1:7" ht="23.5" thickBot="1" x14ac:dyDescent="0.4">
      <c r="A6" s="6" t="s">
        <v>12</v>
      </c>
      <c r="B6" s="11" t="s">
        <v>614</v>
      </c>
      <c r="C6" s="8" t="s">
        <v>11</v>
      </c>
      <c r="D6" s="39" t="str">
        <f>VLOOKUP(D8,'MATRIZ FUNCIONÁRIOS'!A:H,8)</f>
        <v>OPERACIONAL</v>
      </c>
    </row>
    <row r="7" spans="1:7" ht="15" thickBot="1" x14ac:dyDescent="0.4">
      <c r="A7" s="6" t="s">
        <v>13</v>
      </c>
      <c r="B7" s="4" t="s">
        <v>452</v>
      </c>
      <c r="C7" s="10" t="s">
        <v>18</v>
      </c>
      <c r="D7" s="40">
        <v>25</v>
      </c>
    </row>
    <row r="8" spans="1:7" ht="15" thickBot="1" x14ac:dyDescent="0.4">
      <c r="A8" s="7" t="s">
        <v>14</v>
      </c>
      <c r="B8" s="5" t="s">
        <v>41</v>
      </c>
      <c r="C8" s="9" t="s">
        <v>8</v>
      </c>
      <c r="D8" s="38">
        <f>VLOOKUP(D7,'MATRIZ FUNCIONÁRIOS'!A:D,4,FALSE)</f>
        <v>717020</v>
      </c>
    </row>
    <row r="9" spans="1:7" ht="15" customHeight="1" thickBot="1" x14ac:dyDescent="0.4">
      <c r="A9" s="37" t="s">
        <v>15</v>
      </c>
      <c r="B9" s="35" t="str">
        <f>VLOOKUP(D7,'MATRIZ FUNCIONÁRIOS'!A:F,2,0)</f>
        <v>JOSE ANDRE DE SANTANA CRISPIM</v>
      </c>
      <c r="C9" s="36" t="s">
        <v>10</v>
      </c>
      <c r="D9" s="124" t="str">
        <f>VLOOKUP(D7,'MATRIZ FUNCIONÁRIOS'!A:H,3,0)</f>
        <v xml:space="preserve">AJUDANTE  DE OBRAS </v>
      </c>
    </row>
    <row r="10" spans="1:7" ht="15" thickBot="1" x14ac:dyDescent="0.4">
      <c r="A10" s="346" t="s">
        <v>5</v>
      </c>
      <c r="B10" s="347"/>
      <c r="C10" s="347"/>
      <c r="D10" s="348"/>
      <c r="G10" t="s">
        <v>91</v>
      </c>
    </row>
    <row r="11" spans="1:7" ht="41.25" customHeight="1" thickBot="1" x14ac:dyDescent="0.4">
      <c r="A11" s="336" t="s">
        <v>6</v>
      </c>
      <c r="B11" s="337"/>
      <c r="C11" s="337"/>
      <c r="D11" s="338"/>
    </row>
    <row r="12" spans="1:7" ht="15" thickBot="1" x14ac:dyDescent="0.4">
      <c r="A12" s="339" t="s">
        <v>7</v>
      </c>
      <c r="B12" s="340"/>
      <c r="C12" s="340"/>
      <c r="D12" s="341"/>
    </row>
    <row r="13" spans="1:7" ht="115.5" customHeight="1" thickBot="1" x14ac:dyDescent="0.4">
      <c r="A13" s="330" t="str">
        <f>VLOOKUP(D8,'MATRIZ FUNÇÃO'!A:E,3,0)</f>
        <v>Ajudam a executar tarefa de demolição de estrutura de alvenaria, Quebra de pisos e bases de concreto, construção e reparos em edificações de alvenaria, executar escavações, escoramento de valas e recomposição de pisos, Ajuda a executar paredes de alvenaria, executar trabalhos de retiradas de entulhos, espalhamento de materiais, carregamento e descarregamentos, desvios de trânsito auxilia na sinalização.</v>
      </c>
      <c r="B13" s="331"/>
      <c r="C13" s="331"/>
      <c r="D13" s="332"/>
      <c r="G13" t="s">
        <v>91</v>
      </c>
    </row>
    <row r="14" spans="1:7" ht="15" thickBot="1" x14ac:dyDescent="0.4">
      <c r="A14" s="333" t="s">
        <v>19</v>
      </c>
      <c r="B14" s="334"/>
      <c r="C14" s="334"/>
      <c r="D14" s="335"/>
    </row>
    <row r="15" spans="1:7" ht="55" customHeight="1" thickBot="1" x14ac:dyDescent="0.4">
      <c r="A15" s="336" t="str">
        <f>VLOOKUP(D8,'MATRIZ FUNÇÃO'!A:E,4,0)</f>
        <v>FISICO: RUIDO, RADIAÇÃO NÃO IONIZANTES.
QUÍMICO: POEIRAS MINERAIS (SILICA LIVRE CRISTALIZADA) 
ERGONOMICO: POSTURA INADEQUADA.
ACIDENTE:ATROPELAMENTOS, BATIDAS CONTRA, CORTES E PERFURAÇÕES, PROJEÇÃO DE PARTICULAS, QUEDA DE MESMO NÍVEL.</v>
      </c>
      <c r="B15" s="337"/>
      <c r="C15" s="337"/>
      <c r="D15" s="338"/>
    </row>
    <row r="16" spans="1:7" ht="21" customHeight="1" thickBot="1" x14ac:dyDescent="0.4">
      <c r="A16" s="352" t="s">
        <v>21</v>
      </c>
      <c r="B16" s="353"/>
      <c r="C16" s="353"/>
      <c r="D16" s="354"/>
    </row>
    <row r="17" spans="1:6" ht="353.5" customHeight="1" thickBot="1" x14ac:dyDescent="0.4">
      <c r="A17" s="355" t="s">
        <v>92</v>
      </c>
      <c r="B17" s="356"/>
      <c r="C17" s="356"/>
      <c r="D17" s="357"/>
    </row>
    <row r="18" spans="1:6" ht="15" thickBot="1" x14ac:dyDescent="0.4">
      <c r="A18" s="306" t="s">
        <v>22</v>
      </c>
      <c r="B18" s="307"/>
      <c r="C18" s="307"/>
      <c r="D18" s="308"/>
    </row>
    <row r="19" spans="1:6" x14ac:dyDescent="0.35">
      <c r="A19" s="303" t="s">
        <v>73</v>
      </c>
      <c r="B19" s="304"/>
      <c r="C19" s="304"/>
      <c r="D19" s="305"/>
    </row>
    <row r="20" spans="1:6" x14ac:dyDescent="0.35">
      <c r="A20" s="303" t="s">
        <v>23</v>
      </c>
      <c r="B20" s="304"/>
      <c r="C20" s="304"/>
      <c r="D20" s="305"/>
    </row>
    <row r="21" spans="1:6" ht="28.5" customHeight="1" x14ac:dyDescent="0.35">
      <c r="A21" s="303" t="s">
        <v>24</v>
      </c>
      <c r="B21" s="304"/>
      <c r="C21" s="304"/>
      <c r="D21" s="305"/>
      <c r="F21" s="57"/>
    </row>
    <row r="22" spans="1:6" ht="27.65" customHeight="1" thickBot="1" x14ac:dyDescent="0.4">
      <c r="A22" s="373" t="s">
        <v>25</v>
      </c>
      <c r="B22" s="374"/>
      <c r="C22" s="374"/>
      <c r="D22" s="375"/>
    </row>
    <row r="23" spans="1:6" ht="15" thickBot="1" x14ac:dyDescent="0.4">
      <c r="A23" s="306" t="s">
        <v>26</v>
      </c>
      <c r="B23" s="307"/>
      <c r="C23" s="307"/>
      <c r="D23" s="308"/>
    </row>
    <row r="24" spans="1:6" ht="42" customHeight="1" x14ac:dyDescent="0.35">
      <c r="A24" s="376" t="s">
        <v>27</v>
      </c>
      <c r="B24" s="377"/>
      <c r="C24" s="377"/>
      <c r="D24" s="378"/>
    </row>
    <row r="25" spans="1:6" ht="29.25" customHeight="1" thickBot="1" x14ac:dyDescent="0.4">
      <c r="A25" s="379" t="s">
        <v>44</v>
      </c>
      <c r="B25" s="380"/>
      <c r="C25" s="380"/>
      <c r="D25" s="381"/>
    </row>
    <row r="26" spans="1:6" ht="15" thickBot="1" x14ac:dyDescent="0.4">
      <c r="A26" s="310" t="s">
        <v>28</v>
      </c>
      <c r="B26" s="311"/>
      <c r="C26" s="311"/>
      <c r="D26" s="312"/>
    </row>
    <row r="27" spans="1:6" ht="42.75" customHeight="1" thickBot="1" x14ac:dyDescent="0.4">
      <c r="A27" s="313" t="s">
        <v>29</v>
      </c>
      <c r="B27" s="314"/>
      <c r="C27" s="314"/>
      <c r="D27" s="315"/>
    </row>
    <row r="28" spans="1:6" ht="15" thickBot="1" x14ac:dyDescent="0.4">
      <c r="A28" s="349" t="s">
        <v>20</v>
      </c>
      <c r="B28" s="350"/>
      <c r="C28" s="350"/>
      <c r="D28" s="351"/>
    </row>
    <row r="29" spans="1:6" ht="380.15" customHeight="1" thickBot="1" x14ac:dyDescent="0.4">
      <c r="A29" s="336" t="s">
        <v>97</v>
      </c>
      <c r="B29" s="337"/>
      <c r="C29" s="337"/>
      <c r="D29" s="338"/>
    </row>
    <row r="30" spans="1:6" ht="43" customHeight="1" thickBot="1" x14ac:dyDescent="0.4">
      <c r="A30" s="325" t="s">
        <v>588</v>
      </c>
      <c r="B30" s="326"/>
      <c r="C30" s="326"/>
      <c r="D30" s="327"/>
    </row>
    <row r="31" spans="1:6" ht="21.75" customHeight="1" thickBot="1" x14ac:dyDescent="0.4">
      <c r="A31" s="361" t="s">
        <v>94</v>
      </c>
      <c r="B31" s="362"/>
      <c r="C31" s="362"/>
      <c r="D31" s="363"/>
    </row>
    <row r="32" spans="1:6" ht="18" customHeight="1" thickBot="1" x14ac:dyDescent="0.4">
      <c r="A32" s="358"/>
      <c r="B32" s="359"/>
      <c r="C32" s="359"/>
      <c r="D32" s="360"/>
    </row>
    <row r="33" spans="1:4" ht="15" thickBot="1" x14ac:dyDescent="0.4">
      <c r="A33" s="322" t="s">
        <v>30</v>
      </c>
      <c r="B33" s="323"/>
      <c r="C33" s="323"/>
      <c r="D33" s="324"/>
    </row>
    <row r="34" spans="1:4" ht="322.5" customHeight="1" thickBot="1" x14ac:dyDescent="0.4">
      <c r="A34" s="364" t="str">
        <f>VLOOKUP(D8,'MATRIZ FUNÇÃO'!A:F,5,0)</f>
        <v xml:space="preserve">DESCRIÇÃO SINTÉTICA:
Atuar em atividades auxiliares relativas à execução de obras em geral
DESCRIÇÃO DETALHADA:
Executar trabalhos auxiliares, sob supervisão, de serviços de alvenaria, concreto e outros materiais, auxiliando em processos pertinentes para construir, reformar ou reparar prédios e obras similares;
Preparar concretos e argamassas segundo as características da obra e orientação superior.
Assentar diferentes materiais, sob orientação;
Revestir diferentes superfícies, sob supervisão;
Realizar reforma e manutenção de prédios, calçadas e outras estruturas, sob Supervisão superior;
Auxiliar na instalação de molduras de portas, janelas, quadro de luz e outros;
Auxiliar na armação e desmonte andaimes de madeira ou metálicos para execução de obras desejadas;
Auxiliar na montagem tubulações para instalações elétricas;
Realizar treinamento na área de atuação, quando solicitado;
Atuar, na qualidade de instrutor de treinamentos e outros eventos de igual natureza, mediante participação prévia em processo de qualificação e autorização superior;
Manter organizados, limpos e conservados os materiais, máquinas, equipamentos e local de trabalho;
Auxiliar na limpeza de frente de trabalho;
Auxiliar na recomposição de materiais com carrinho de mão;
Executar serviços manuais, utilizando ferramentas como: pá, enxada, picareta, vassoura, carrinho de mão entre outros;
Montagem e desmontagem de barracas, utilizadas na área de vivencia
Limpeza, retirada de lixo das áreas de vivencia;
Orientar operadores e motoristas em manobras;
Executar carregamento de peso manual;
Auxiliar na medição camadas fresadas, utilizando linhas, trenas e outros;
Pulverizar com óleo vegetal os pneus dos rolos durante a operação;
Auxiliar no assopramento da areia de aplicação do material;
Escavar valas, fixar piquetes;
Executar tarefas manuais rotineiras que exigem esforços físicos;
Remover e Manusear volumes, maquinas, moveis e equipamentos sempre que solicitado;
Auxiliar na faxina em geral;
</v>
      </c>
      <c r="B34" s="365"/>
      <c r="C34" s="365"/>
      <c r="D34" s="366"/>
    </row>
    <row r="35" spans="1:4" ht="13" hidden="1" customHeight="1" thickBot="1" x14ac:dyDescent="0.4">
      <c r="A35" s="367"/>
      <c r="B35" s="368"/>
      <c r="C35" s="368"/>
      <c r="D35" s="369"/>
    </row>
    <row r="36" spans="1:4" ht="15.75" customHeight="1" thickBot="1" x14ac:dyDescent="0.4">
      <c r="A36" s="306" t="s">
        <v>31</v>
      </c>
      <c r="B36" s="307"/>
      <c r="C36" s="307"/>
      <c r="D36" s="308"/>
    </row>
    <row r="37" spans="1:4" ht="33.75" customHeight="1" thickBot="1" x14ac:dyDescent="0.4">
      <c r="A37" s="316" t="s">
        <v>32</v>
      </c>
      <c r="B37" s="317"/>
      <c r="C37" s="317"/>
      <c r="D37" s="318"/>
    </row>
    <row r="38" spans="1:4" ht="15.75" customHeight="1" thickBot="1" x14ac:dyDescent="0.4">
      <c r="A38" s="306" t="s">
        <v>33</v>
      </c>
      <c r="B38" s="307"/>
      <c r="C38" s="307"/>
      <c r="D38" s="308"/>
    </row>
    <row r="39" spans="1:4" ht="15.75" customHeight="1" thickBot="1" x14ac:dyDescent="0.4">
      <c r="A39" s="11" t="s">
        <v>34</v>
      </c>
      <c r="B39" s="319" t="str">
        <f>B9</f>
        <v>JOSE ANDRE DE SANTANA CRISPIM</v>
      </c>
      <c r="C39" s="320"/>
      <c r="D39" s="321"/>
    </row>
    <row r="40" spans="1:4" ht="15" thickBot="1" x14ac:dyDescent="0.4">
      <c r="A40" s="12" t="s">
        <v>36</v>
      </c>
      <c r="B40" s="13">
        <f>VLOOKUP(D7,'MATRIZ FUNCIONÁRIOS'!A:F,6,0)</f>
        <v>3140099</v>
      </c>
      <c r="C40" s="16" t="s">
        <v>35</v>
      </c>
      <c r="D40" s="16" t="str">
        <f>VLOOKUP(D7,'MATRIZ FUNCIONÁRIOS'!A:F,5,0)</f>
        <v>068.473.064-24</v>
      </c>
    </row>
    <row r="41" spans="1:4" ht="15" thickBot="1" x14ac:dyDescent="0.4">
      <c r="A41" s="14" t="s">
        <v>10</v>
      </c>
      <c r="B41" s="15" t="str">
        <f>D9</f>
        <v xml:space="preserve">AJUDANTE  DE OBRAS </v>
      </c>
      <c r="C41" s="17" t="s">
        <v>37</v>
      </c>
      <c r="D41" s="18">
        <f>VLOOKUP(D7,'MATRIZ FUNCIONÁRIOS'!A:H,7,0)</f>
        <v>0</v>
      </c>
    </row>
    <row r="42" spans="1:4" ht="15" thickBot="1" x14ac:dyDescent="0.4">
      <c r="A42" s="19" t="s">
        <v>40</v>
      </c>
      <c r="B42" s="370" t="s">
        <v>45</v>
      </c>
      <c r="C42" s="371"/>
      <c r="D42" s="372"/>
    </row>
    <row r="46" spans="1:4" x14ac:dyDescent="0.35">
      <c r="A46" s="309" t="s">
        <v>452</v>
      </c>
      <c r="B46" s="309"/>
      <c r="C46" s="309"/>
      <c r="D46" s="309"/>
    </row>
    <row r="47" spans="1:4" x14ac:dyDescent="0.35">
      <c r="A47" s="309" t="s">
        <v>457</v>
      </c>
      <c r="B47" s="309"/>
      <c r="C47" s="309"/>
      <c r="D47" s="309"/>
    </row>
    <row r="48" spans="1:4" x14ac:dyDescent="0.35">
      <c r="A48" s="309" t="s">
        <v>463</v>
      </c>
      <c r="B48" s="309"/>
      <c r="C48" s="309"/>
      <c r="D48" s="309"/>
    </row>
    <row r="49" spans="1:4" x14ac:dyDescent="0.35">
      <c r="A49" s="309" t="s">
        <v>458</v>
      </c>
      <c r="B49" s="309"/>
      <c r="C49" s="309"/>
      <c r="D49" s="309"/>
    </row>
  </sheetData>
  <mergeCells count="39">
    <mergeCell ref="A49:D49"/>
    <mergeCell ref="A28:D28"/>
    <mergeCell ref="A29:D29"/>
    <mergeCell ref="A16:D16"/>
    <mergeCell ref="A17:D17"/>
    <mergeCell ref="A36:D36"/>
    <mergeCell ref="A32:D32"/>
    <mergeCell ref="A31:D31"/>
    <mergeCell ref="A34:D35"/>
    <mergeCell ref="B42:D42"/>
    <mergeCell ref="A21:D21"/>
    <mergeCell ref="A22:D22"/>
    <mergeCell ref="A23:D23"/>
    <mergeCell ref="A24:D24"/>
    <mergeCell ref="A25:D25"/>
    <mergeCell ref="A19:D19"/>
    <mergeCell ref="A2:D2"/>
    <mergeCell ref="A1:D1"/>
    <mergeCell ref="A13:D13"/>
    <mergeCell ref="A14:D14"/>
    <mergeCell ref="A15:D15"/>
    <mergeCell ref="A12:D12"/>
    <mergeCell ref="A4:D4"/>
    <mergeCell ref="A3:D3"/>
    <mergeCell ref="A5:D5"/>
    <mergeCell ref="A10:D10"/>
    <mergeCell ref="A11:D11"/>
    <mergeCell ref="A20:D20"/>
    <mergeCell ref="A18:D18"/>
    <mergeCell ref="A46:D46"/>
    <mergeCell ref="A47:D47"/>
    <mergeCell ref="A48:D48"/>
    <mergeCell ref="A26:D26"/>
    <mergeCell ref="A27:D27"/>
    <mergeCell ref="A37:D37"/>
    <mergeCell ref="A38:D38"/>
    <mergeCell ref="B39:D39"/>
    <mergeCell ref="A33:D33"/>
    <mergeCell ref="A30:D30"/>
  </mergeCells>
  <pageMargins left="0.51181102362204722" right="0.31496062992125984" top="0.59055118110236227" bottom="0.39370078740157483" header="0.31496062992125984" footer="0.31496062992125984"/>
  <pageSetup paperSize="9" scale="90" orientation="portrait" horizontalDpi="360" verticalDpi="360" r:id="rId1"/>
  <rowBreaks count="2" manualBreakCount="2">
    <brk id="17" max="9" man="1"/>
    <brk id="32" max="9"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6"/>
  <sheetViews>
    <sheetView view="pageBreakPreview" zoomScale="78" zoomScaleNormal="115" zoomScaleSheetLayoutView="78" workbookViewId="0">
      <selection activeCell="H20" sqref="H20"/>
    </sheetView>
  </sheetViews>
  <sheetFormatPr defaultRowHeight="14.5" x14ac:dyDescent="0.35"/>
  <cols>
    <col min="1" max="1" width="7.1796875" customWidth="1"/>
    <col min="2" max="2" width="11" customWidth="1"/>
    <col min="3" max="3" width="22.1796875" customWidth="1"/>
    <col min="4" max="4" width="6.81640625" customWidth="1"/>
    <col min="5" max="5" width="14.1796875" customWidth="1"/>
    <col min="6" max="6" width="8.54296875" bestFit="1" customWidth="1"/>
    <col min="7" max="7" width="15.81640625" customWidth="1"/>
    <col min="8" max="8" width="10.1796875" customWidth="1"/>
    <col min="14" max="14" width="46.54296875" bestFit="1" customWidth="1"/>
  </cols>
  <sheetData>
    <row r="1" spans="1:15" x14ac:dyDescent="0.35">
      <c r="A1" s="412" t="s">
        <v>614</v>
      </c>
      <c r="B1" s="412"/>
      <c r="C1" s="412"/>
      <c r="D1" s="412"/>
      <c r="E1" s="412"/>
      <c r="F1" s="412"/>
      <c r="G1" s="412"/>
      <c r="H1" s="412"/>
    </row>
    <row r="2" spans="1:15" x14ac:dyDescent="0.35">
      <c r="A2" s="412"/>
      <c r="B2" s="412"/>
      <c r="C2" s="412"/>
      <c r="D2" s="412"/>
      <c r="E2" s="412"/>
      <c r="F2" s="412"/>
      <c r="G2" s="412"/>
      <c r="H2" s="412"/>
    </row>
    <row r="3" spans="1:15" x14ac:dyDescent="0.35">
      <c r="A3" s="412"/>
      <c r="B3" s="412"/>
      <c r="C3" s="412"/>
      <c r="D3" s="412"/>
      <c r="E3" s="412"/>
      <c r="F3" s="412"/>
      <c r="G3" s="412"/>
      <c r="H3" s="412"/>
    </row>
    <row r="4" spans="1:15" ht="34.5" customHeight="1" x14ac:dyDescent="0.35">
      <c r="A4" s="413" t="s">
        <v>57</v>
      </c>
      <c r="B4" s="413"/>
      <c r="C4" s="414"/>
      <c r="D4" s="414"/>
      <c r="E4" s="414"/>
      <c r="F4" s="414"/>
      <c r="G4" s="414"/>
      <c r="H4" s="414"/>
    </row>
    <row r="5" spans="1:15" ht="15" thickBot="1" x14ac:dyDescent="0.4">
      <c r="A5" s="415"/>
      <c r="B5" s="415"/>
      <c r="C5" s="415"/>
      <c r="D5" s="415"/>
      <c r="E5" s="415"/>
      <c r="F5" s="415"/>
      <c r="G5" s="415"/>
      <c r="H5" s="415"/>
    </row>
    <row r="6" spans="1:15" ht="16" thickBot="1" x14ac:dyDescent="0.4">
      <c r="A6" s="416" t="s">
        <v>58</v>
      </c>
      <c r="B6" s="417"/>
      <c r="C6" s="382" t="str">
        <f>VLOOKUP(G7,'MATRIZ FUNCIONÁRIOS'!A:F,2,0)</f>
        <v>JOSÉ IGOR GALVÃO SILVA</v>
      </c>
      <c r="D6" s="396"/>
      <c r="E6" s="396"/>
      <c r="F6" s="396"/>
      <c r="G6" s="396"/>
      <c r="H6" s="383"/>
      <c r="N6" s="23"/>
    </row>
    <row r="7" spans="1:15" ht="16" thickBot="1" x14ac:dyDescent="0.4">
      <c r="A7" s="392" t="s">
        <v>10</v>
      </c>
      <c r="B7" s="393"/>
      <c r="C7" s="382" t="str">
        <f>VLOOKUP(G7,'MATRIZ FUNCIONÁRIOS'!A:F,3,0)</f>
        <v xml:space="preserve">AJUDANTE  DE OBRAS </v>
      </c>
      <c r="D7" s="396"/>
      <c r="E7" s="383"/>
      <c r="F7" s="25" t="s">
        <v>18</v>
      </c>
      <c r="G7" s="382">
        <v>550</v>
      </c>
      <c r="H7" s="383"/>
      <c r="N7" s="22"/>
      <c r="O7" s="24"/>
    </row>
    <row r="8" spans="1:15" ht="15" thickBot="1" x14ac:dyDescent="0.4">
      <c r="A8" s="394" t="s">
        <v>59</v>
      </c>
      <c r="B8" s="395"/>
      <c r="C8" s="397">
        <f>VLOOKUP(G7,'MATRIZ FUNCIONÁRIOS'!A:G,7,0)</f>
        <v>46259</v>
      </c>
      <c r="D8" s="398"/>
      <c r="E8" s="399"/>
      <c r="F8" s="26" t="s">
        <v>11</v>
      </c>
      <c r="G8" s="390" t="str">
        <f>VLOOKUP(G7,'MATRIZ FUNCIONÁRIOS'!A:H,8,0)</f>
        <v>OPERACIONAL</v>
      </c>
      <c r="H8" s="391"/>
    </row>
    <row r="9" spans="1:15" ht="15" thickBot="1" x14ac:dyDescent="0.4">
      <c r="A9" s="403" t="s">
        <v>62</v>
      </c>
      <c r="B9" s="404"/>
      <c r="C9" s="404"/>
      <c r="D9" s="404"/>
      <c r="E9" s="404"/>
      <c r="F9" s="404"/>
      <c r="G9" s="404"/>
      <c r="H9" s="405"/>
    </row>
    <row r="10" spans="1:15" ht="273.64999999999998" customHeight="1" thickBot="1" x14ac:dyDescent="0.4">
      <c r="A10" s="406" t="s">
        <v>63</v>
      </c>
      <c r="B10" s="407"/>
      <c r="C10" s="407"/>
      <c r="D10" s="407"/>
      <c r="E10" s="407"/>
      <c r="F10" s="407"/>
      <c r="G10" s="407"/>
      <c r="H10" s="408"/>
    </row>
    <row r="11" spans="1:15" ht="15" thickBot="1" x14ac:dyDescent="0.4">
      <c r="A11" s="409" t="s">
        <v>60</v>
      </c>
      <c r="B11" s="410"/>
      <c r="C11" s="410"/>
      <c r="D11" s="410"/>
      <c r="E11" s="410"/>
      <c r="F11" s="410"/>
      <c r="G11" s="410"/>
      <c r="H11" s="411"/>
    </row>
    <row r="12" spans="1:15" ht="15" thickBot="1" x14ac:dyDescent="0.4">
      <c r="A12" s="400" t="s">
        <v>61</v>
      </c>
      <c r="B12" s="401"/>
      <c r="C12" s="401"/>
      <c r="D12" s="401"/>
      <c r="E12" s="401"/>
      <c r="F12" s="401"/>
      <c r="G12" s="401"/>
      <c r="H12" s="402"/>
    </row>
    <row r="13" spans="1:15" ht="15" thickBot="1" x14ac:dyDescent="0.4">
      <c r="A13" s="27"/>
    </row>
    <row r="14" spans="1:15" ht="23.5" thickBot="1" x14ac:dyDescent="0.4">
      <c r="A14" s="60" t="s">
        <v>48</v>
      </c>
      <c r="B14" s="384" t="s">
        <v>49</v>
      </c>
      <c r="C14" s="385"/>
      <c r="D14" s="61" t="s">
        <v>50</v>
      </c>
      <c r="E14" s="62" t="s">
        <v>51</v>
      </c>
      <c r="F14" s="61" t="s">
        <v>52</v>
      </c>
      <c r="G14" s="62" t="s">
        <v>53</v>
      </c>
      <c r="H14" s="63" t="s">
        <v>54</v>
      </c>
    </row>
    <row r="15" spans="1:15" ht="15" customHeight="1" thickBot="1" x14ac:dyDescent="0.4">
      <c r="A15" s="144">
        <v>2</v>
      </c>
      <c r="B15" s="386" t="s">
        <v>630</v>
      </c>
      <c r="C15" s="386"/>
      <c r="D15" s="144" t="s">
        <v>79</v>
      </c>
      <c r="E15" s="145">
        <v>46251</v>
      </c>
      <c r="F15" s="144" t="s">
        <v>413</v>
      </c>
      <c r="G15" s="169" t="s">
        <v>55</v>
      </c>
      <c r="H15" s="58"/>
    </row>
    <row r="16" spans="1:15" ht="15" customHeight="1" thickBot="1" x14ac:dyDescent="0.4">
      <c r="A16" s="143">
        <v>1</v>
      </c>
      <c r="B16" s="387" t="s">
        <v>469</v>
      </c>
      <c r="C16" s="387"/>
      <c r="D16" s="143">
        <v>38362</v>
      </c>
      <c r="E16" s="145">
        <v>46251</v>
      </c>
      <c r="F16" s="144" t="str">
        <f>F15</f>
        <v>B</v>
      </c>
      <c r="G16" s="168" t="s">
        <v>45</v>
      </c>
      <c r="H16" s="59"/>
    </row>
    <row r="17" spans="1:8" ht="15" customHeight="1" thickBot="1" x14ac:dyDescent="0.4">
      <c r="A17" s="143">
        <v>1</v>
      </c>
      <c r="B17" s="388" t="s">
        <v>56</v>
      </c>
      <c r="C17" s="389"/>
      <c r="D17" s="174">
        <v>10043</v>
      </c>
      <c r="E17" s="145">
        <v>46251</v>
      </c>
      <c r="F17" s="144" t="str">
        <f t="shared" ref="F17" si="0">F16</f>
        <v>B</v>
      </c>
      <c r="G17" s="168" t="s">
        <v>45</v>
      </c>
      <c r="H17" s="59"/>
    </row>
    <row r="18" spans="1:8" ht="15" customHeight="1" thickBot="1" x14ac:dyDescent="0.4">
      <c r="A18" s="143">
        <v>2</v>
      </c>
      <c r="B18" s="426" t="s">
        <v>627</v>
      </c>
      <c r="C18" s="427"/>
      <c r="D18" s="143">
        <v>45364</v>
      </c>
      <c r="E18" s="145">
        <v>46251</v>
      </c>
      <c r="F18" s="144" t="s">
        <v>413</v>
      </c>
      <c r="G18" s="168" t="s">
        <v>45</v>
      </c>
      <c r="H18" s="59"/>
    </row>
    <row r="19" spans="1:8" ht="15.75" customHeight="1" thickBot="1" x14ac:dyDescent="0.4">
      <c r="A19" s="143">
        <v>1</v>
      </c>
      <c r="B19" s="426" t="str">
        <f>VLOOKUP(D19,'[1]MATRIZ EPI'!A:B,2,0)</f>
        <v>PROTETOR SOLAR LUVEX UV F60</v>
      </c>
      <c r="C19" s="427"/>
      <c r="D19" s="178" t="s">
        <v>99</v>
      </c>
      <c r="E19" s="145">
        <v>46251</v>
      </c>
      <c r="F19" s="144" t="str">
        <f t="shared" ref="F19:F23" si="1">F18</f>
        <v>B</v>
      </c>
      <c r="G19" s="168" t="s">
        <v>45</v>
      </c>
      <c r="H19" s="59"/>
    </row>
    <row r="20" spans="1:8" ht="15.75" customHeight="1" thickBot="1" x14ac:dyDescent="0.4">
      <c r="A20" s="143">
        <v>1</v>
      </c>
      <c r="B20" s="426" t="str">
        <f>'MATRIZ EPI'!B9</f>
        <v xml:space="preserve">ÓCULOS DE SEGURANÇA </v>
      </c>
      <c r="C20" s="427"/>
      <c r="D20" s="143">
        <v>11268</v>
      </c>
      <c r="E20" s="145">
        <v>46251</v>
      </c>
      <c r="F20" s="144" t="str">
        <f t="shared" si="1"/>
        <v>B</v>
      </c>
      <c r="G20" s="168" t="s">
        <v>45</v>
      </c>
      <c r="H20" s="59"/>
    </row>
    <row r="21" spans="1:8" ht="15" thickBot="1" x14ac:dyDescent="0.4">
      <c r="A21" s="143">
        <v>1</v>
      </c>
      <c r="B21" s="428" t="s">
        <v>638</v>
      </c>
      <c r="C21" s="428"/>
      <c r="D21" s="146">
        <v>31469</v>
      </c>
      <c r="E21" s="145">
        <v>46251</v>
      </c>
      <c r="F21" s="144" t="str">
        <f t="shared" si="1"/>
        <v>B</v>
      </c>
      <c r="G21" s="168" t="s">
        <v>45</v>
      </c>
      <c r="H21" s="143"/>
    </row>
    <row r="22" spans="1:8" ht="15" customHeight="1" thickBot="1" x14ac:dyDescent="0.4">
      <c r="A22" s="178">
        <v>1</v>
      </c>
      <c r="B22" s="437" t="s">
        <v>589</v>
      </c>
      <c r="C22" s="438"/>
      <c r="D22" s="180">
        <v>37930</v>
      </c>
      <c r="E22" s="145">
        <v>46251</v>
      </c>
      <c r="F22" s="181" t="str">
        <f t="shared" si="1"/>
        <v>B</v>
      </c>
      <c r="G22" s="179" t="s">
        <v>55</v>
      </c>
      <c r="H22" s="167"/>
    </row>
    <row r="23" spans="1:8" ht="15" customHeight="1" x14ac:dyDescent="0.35">
      <c r="A23" s="178">
        <v>1</v>
      </c>
      <c r="B23" s="418" t="s">
        <v>631</v>
      </c>
      <c r="C23" s="419"/>
      <c r="D23" s="174">
        <v>11268</v>
      </c>
      <c r="E23" s="145">
        <v>46251</v>
      </c>
      <c r="F23" s="144" t="str">
        <f t="shared" si="1"/>
        <v>B</v>
      </c>
      <c r="G23" s="168" t="s">
        <v>45</v>
      </c>
      <c r="H23" s="167"/>
    </row>
    <row r="24" spans="1:8" ht="15" thickBot="1" x14ac:dyDescent="0.4">
      <c r="A24" s="429" t="s">
        <v>243</v>
      </c>
      <c r="B24" s="429"/>
      <c r="C24" s="429"/>
      <c r="D24" s="429"/>
      <c r="E24" s="429"/>
      <c r="F24" s="429"/>
      <c r="G24" s="429"/>
      <c r="H24" s="429"/>
    </row>
    <row r="25" spans="1:8" ht="15.75" customHeight="1" thickBot="1" x14ac:dyDescent="0.4">
      <c r="A25" s="352" t="s">
        <v>33</v>
      </c>
      <c r="B25" s="353"/>
      <c r="C25" s="353"/>
      <c r="D25" s="353"/>
      <c r="E25" s="353"/>
      <c r="F25" s="353"/>
      <c r="G25" s="353"/>
      <c r="H25" s="354"/>
    </row>
    <row r="26" spans="1:8" ht="15" thickBot="1" x14ac:dyDescent="0.4">
      <c r="A26" s="420" t="s">
        <v>64</v>
      </c>
      <c r="B26" s="421"/>
      <c r="C26" s="420" t="str">
        <f>C6</f>
        <v>JOSÉ IGOR GALVÃO SILVA</v>
      </c>
      <c r="D26" s="422"/>
      <c r="E26" s="422"/>
      <c r="F26" s="422"/>
      <c r="G26" s="422"/>
      <c r="H26" s="421"/>
    </row>
    <row r="27" spans="1:8" ht="15" thickBot="1" x14ac:dyDescent="0.4">
      <c r="A27" s="420" t="s">
        <v>36</v>
      </c>
      <c r="B27" s="421"/>
      <c r="C27" s="433">
        <f>VLOOKUP(G7,'MATRIZ FUNCIONÁRIOS'!A:H,6,0)</f>
        <v>71147506418</v>
      </c>
      <c r="D27" s="434"/>
      <c r="E27" s="28" t="s">
        <v>35</v>
      </c>
      <c r="F27" s="423" t="str">
        <f>VLOOKUP(G7,'MATRIZ FUNCIONÁRIOS'!A:H,5,0)</f>
        <v>711.475.064-18</v>
      </c>
      <c r="G27" s="424"/>
      <c r="H27" s="425"/>
    </row>
    <row r="28" spans="1:8" ht="15" thickBot="1" x14ac:dyDescent="0.4">
      <c r="A28" s="420" t="s">
        <v>65</v>
      </c>
      <c r="B28" s="421"/>
      <c r="C28" s="435" t="str">
        <f>C7</f>
        <v xml:space="preserve">AJUDANTE  DE OBRAS </v>
      </c>
      <c r="D28" s="436"/>
      <c r="E28" s="34" t="s">
        <v>148</v>
      </c>
      <c r="F28" s="430">
        <f>C8</f>
        <v>46259</v>
      </c>
      <c r="G28" s="431"/>
      <c r="H28" s="432"/>
    </row>
    <row r="29" spans="1:8" ht="15" thickBot="1" x14ac:dyDescent="0.4">
      <c r="A29" s="420" t="s">
        <v>40</v>
      </c>
      <c r="B29" s="421"/>
      <c r="C29" s="420" t="s">
        <v>55</v>
      </c>
      <c r="D29" s="422"/>
      <c r="E29" s="422"/>
      <c r="F29" s="422"/>
      <c r="G29" s="422"/>
      <c r="H29" s="421"/>
    </row>
    <row r="31" spans="1:8" x14ac:dyDescent="0.35">
      <c r="A31" s="412" t="s">
        <v>615</v>
      </c>
      <c r="B31" s="412"/>
      <c r="C31" s="412"/>
      <c r="D31" s="412"/>
      <c r="E31" s="412"/>
      <c r="F31" s="412"/>
      <c r="G31" s="412"/>
      <c r="H31" s="412"/>
    </row>
    <row r="32" spans="1:8" x14ac:dyDescent="0.35">
      <c r="A32" s="412"/>
      <c r="B32" s="412"/>
      <c r="C32" s="412"/>
      <c r="D32" s="412"/>
      <c r="E32" s="412"/>
      <c r="F32" s="412"/>
      <c r="G32" s="412"/>
      <c r="H32" s="412"/>
    </row>
    <row r="33" spans="1:8" x14ac:dyDescent="0.35">
      <c r="A33" s="412"/>
      <c r="B33" s="412"/>
      <c r="C33" s="412"/>
      <c r="D33" s="412"/>
      <c r="E33" s="412"/>
      <c r="F33" s="412"/>
      <c r="G33" s="412"/>
      <c r="H33" s="412"/>
    </row>
    <row r="34" spans="1:8" ht="30" customHeight="1" x14ac:dyDescent="0.35">
      <c r="A34" s="413" t="s">
        <v>57</v>
      </c>
      <c r="B34" s="413"/>
      <c r="C34" s="414"/>
      <c r="D34" s="414"/>
      <c r="E34" s="414"/>
      <c r="F34" s="414"/>
      <c r="G34" s="414"/>
      <c r="H34" s="414"/>
    </row>
    <row r="35" spans="1:8" ht="15" thickBot="1" x14ac:dyDescent="0.4">
      <c r="A35" s="415"/>
      <c r="B35" s="415"/>
      <c r="C35" s="415"/>
      <c r="D35" s="415"/>
      <c r="E35" s="415"/>
      <c r="F35" s="415"/>
      <c r="G35" s="415"/>
      <c r="H35" s="415"/>
    </row>
    <row r="36" spans="1:8" ht="15" thickBot="1" x14ac:dyDescent="0.4">
      <c r="A36" s="416" t="s">
        <v>58</v>
      </c>
      <c r="B36" s="417"/>
      <c r="C36" s="382" t="str">
        <f>C6</f>
        <v>JOSÉ IGOR GALVÃO SILVA</v>
      </c>
      <c r="D36" s="396"/>
      <c r="E36" s="396"/>
      <c r="F36" s="396"/>
      <c r="G36" s="396"/>
      <c r="H36" s="383"/>
    </row>
    <row r="37" spans="1:8" ht="15" thickBot="1" x14ac:dyDescent="0.4">
      <c r="A37" s="392" t="s">
        <v>10</v>
      </c>
      <c r="B37" s="393"/>
      <c r="C37" s="382" t="str">
        <f>C7</f>
        <v xml:space="preserve">AJUDANTE  DE OBRAS </v>
      </c>
      <c r="D37" s="396"/>
      <c r="E37" s="383"/>
      <c r="F37" s="25" t="s">
        <v>18</v>
      </c>
      <c r="G37" s="382">
        <f>G7</f>
        <v>550</v>
      </c>
      <c r="H37" s="383"/>
    </row>
    <row r="38" spans="1:8" ht="15" thickBot="1" x14ac:dyDescent="0.4">
      <c r="A38" s="394" t="s">
        <v>59</v>
      </c>
      <c r="B38" s="395"/>
      <c r="C38" s="397">
        <f>C8</f>
        <v>46259</v>
      </c>
      <c r="D38" s="398"/>
      <c r="E38" s="399"/>
      <c r="F38" s="26" t="s">
        <v>11</v>
      </c>
      <c r="G38" s="390" t="str">
        <f>G8</f>
        <v>OPERACIONAL</v>
      </c>
      <c r="H38" s="391"/>
    </row>
    <row r="39" spans="1:8" ht="23.5" thickBot="1" x14ac:dyDescent="0.4">
      <c r="A39" s="41" t="s">
        <v>48</v>
      </c>
      <c r="B39" s="384" t="s">
        <v>49</v>
      </c>
      <c r="C39" s="385"/>
      <c r="D39" s="29" t="s">
        <v>50</v>
      </c>
      <c r="E39" s="30" t="s">
        <v>51</v>
      </c>
      <c r="F39" s="29" t="s">
        <v>52</v>
      </c>
      <c r="G39" s="30" t="s">
        <v>53</v>
      </c>
      <c r="H39" s="42" t="s">
        <v>54</v>
      </c>
    </row>
    <row r="40" spans="1:8" x14ac:dyDescent="0.35">
      <c r="A40" s="31"/>
      <c r="B40" s="426"/>
      <c r="C40" s="427"/>
      <c r="D40" s="20"/>
      <c r="E40" s="32"/>
      <c r="F40" s="20"/>
      <c r="G40" s="33" t="s">
        <v>55</v>
      </c>
      <c r="H40" s="21"/>
    </row>
    <row r="41" spans="1:8" x14ac:dyDescent="0.35">
      <c r="A41" s="31"/>
      <c r="B41" s="426"/>
      <c r="C41" s="427"/>
      <c r="D41" s="20"/>
      <c r="E41" s="32"/>
      <c r="F41" s="20"/>
      <c r="G41" s="33" t="s">
        <v>55</v>
      </c>
      <c r="H41" s="21"/>
    </row>
    <row r="42" spans="1:8" x14ac:dyDescent="0.35">
      <c r="A42" s="31"/>
      <c r="B42" s="426"/>
      <c r="C42" s="427"/>
      <c r="D42" s="20"/>
      <c r="E42" s="32"/>
      <c r="F42" s="20"/>
      <c r="G42" s="33" t="s">
        <v>55</v>
      </c>
      <c r="H42" s="21"/>
    </row>
    <row r="43" spans="1:8" x14ac:dyDescent="0.35">
      <c r="A43" s="31"/>
      <c r="B43" s="426"/>
      <c r="C43" s="427"/>
      <c r="D43" s="20"/>
      <c r="E43" s="32"/>
      <c r="F43" s="20"/>
      <c r="G43" s="33" t="s">
        <v>55</v>
      </c>
      <c r="H43" s="21"/>
    </row>
    <row r="44" spans="1:8" x14ac:dyDescent="0.35">
      <c r="A44" s="31"/>
      <c r="B44" s="426"/>
      <c r="C44" s="427"/>
      <c r="D44" s="20"/>
      <c r="E44" s="32"/>
      <c r="F44" s="20"/>
      <c r="G44" s="33" t="s">
        <v>55</v>
      </c>
      <c r="H44" s="21"/>
    </row>
    <row r="45" spans="1:8" x14ac:dyDescent="0.35">
      <c r="A45" s="31"/>
      <c r="B45" s="426"/>
      <c r="C45" s="427"/>
      <c r="D45" s="20"/>
      <c r="E45" s="32"/>
      <c r="F45" s="20"/>
      <c r="G45" s="33" t="s">
        <v>55</v>
      </c>
      <c r="H45" s="21"/>
    </row>
    <row r="46" spans="1:8" x14ac:dyDescent="0.35">
      <c r="A46" s="31"/>
      <c r="B46" s="426"/>
      <c r="C46" s="427"/>
      <c r="D46" s="20"/>
      <c r="E46" s="32"/>
      <c r="F46" s="20"/>
      <c r="G46" s="33" t="s">
        <v>55</v>
      </c>
      <c r="H46" s="21"/>
    </row>
    <row r="47" spans="1:8" x14ac:dyDescent="0.35">
      <c r="A47" s="31"/>
      <c r="B47" s="426"/>
      <c r="C47" s="427"/>
      <c r="D47" s="20"/>
      <c r="E47" s="32"/>
      <c r="F47" s="20"/>
      <c r="G47" s="33" t="s">
        <v>55</v>
      </c>
      <c r="H47" s="21"/>
    </row>
    <row r="48" spans="1:8" x14ac:dyDescent="0.35">
      <c r="A48" s="31"/>
      <c r="B48" s="426"/>
      <c r="C48" s="427"/>
      <c r="D48" s="20"/>
      <c r="E48" s="32"/>
      <c r="F48" s="20"/>
      <c r="G48" s="33" t="s">
        <v>55</v>
      </c>
      <c r="H48" s="21"/>
    </row>
    <row r="49" spans="1:8" x14ac:dyDescent="0.35">
      <c r="A49" s="31"/>
      <c r="B49" s="426"/>
      <c r="C49" s="427"/>
      <c r="D49" s="20"/>
      <c r="E49" s="32"/>
      <c r="F49" s="20"/>
      <c r="G49" s="33" t="s">
        <v>55</v>
      </c>
      <c r="H49" s="21"/>
    </row>
    <row r="50" spans="1:8" x14ac:dyDescent="0.35">
      <c r="A50" s="31"/>
      <c r="B50" s="426"/>
      <c r="C50" s="427"/>
      <c r="D50" s="20"/>
      <c r="E50" s="32"/>
      <c r="F50" s="20"/>
      <c r="G50" s="33" t="s">
        <v>55</v>
      </c>
      <c r="H50" s="21"/>
    </row>
    <row r="51" spans="1:8" x14ac:dyDescent="0.35">
      <c r="A51" s="31"/>
      <c r="B51" s="426"/>
      <c r="C51" s="427"/>
      <c r="D51" s="20"/>
      <c r="E51" s="32"/>
      <c r="F51" s="20"/>
      <c r="G51" s="33" t="s">
        <v>55</v>
      </c>
      <c r="H51" s="21"/>
    </row>
    <row r="52" spans="1:8" x14ac:dyDescent="0.35">
      <c r="A52" s="31"/>
      <c r="B52" s="426"/>
      <c r="C52" s="427"/>
      <c r="D52" s="20"/>
      <c r="E52" s="32"/>
      <c r="F52" s="20"/>
      <c r="G52" s="33" t="s">
        <v>55</v>
      </c>
      <c r="H52" s="21"/>
    </row>
    <row r="53" spans="1:8" x14ac:dyDescent="0.35">
      <c r="A53" s="31"/>
      <c r="B53" s="426"/>
      <c r="C53" s="427"/>
      <c r="D53" s="20"/>
      <c r="E53" s="32"/>
      <c r="F53" s="20"/>
      <c r="G53" s="33" t="s">
        <v>55</v>
      </c>
      <c r="H53" s="21"/>
    </row>
    <row r="54" spans="1:8" x14ac:dyDescent="0.35">
      <c r="A54" s="31"/>
      <c r="B54" s="426"/>
      <c r="C54" s="427"/>
      <c r="D54" s="20"/>
      <c r="E54" s="32"/>
      <c r="F54" s="20"/>
      <c r="G54" s="33" t="s">
        <v>55</v>
      </c>
      <c r="H54" s="21"/>
    </row>
    <row r="55" spans="1:8" x14ac:dyDescent="0.35">
      <c r="A55" s="31"/>
      <c r="B55" s="426"/>
      <c r="C55" s="427"/>
      <c r="D55" s="20"/>
      <c r="E55" s="32"/>
      <c r="F55" s="20"/>
      <c r="G55" s="33" t="s">
        <v>55</v>
      </c>
      <c r="H55" s="21"/>
    </row>
    <row r="56" spans="1:8" x14ac:dyDescent="0.35">
      <c r="A56" s="31"/>
      <c r="B56" s="426"/>
      <c r="C56" s="427"/>
      <c r="D56" s="20"/>
      <c r="E56" s="32"/>
      <c r="F56" s="20"/>
      <c r="G56" s="33" t="s">
        <v>55</v>
      </c>
      <c r="H56" s="21"/>
    </row>
    <row r="57" spans="1:8" x14ac:dyDescent="0.35">
      <c r="A57" s="31"/>
      <c r="B57" s="426"/>
      <c r="C57" s="427"/>
      <c r="D57" s="20"/>
      <c r="E57" s="32"/>
      <c r="F57" s="20"/>
      <c r="G57" s="33" t="s">
        <v>55</v>
      </c>
      <c r="H57" s="21"/>
    </row>
    <row r="58" spans="1:8" x14ac:dyDescent="0.35">
      <c r="A58" s="31"/>
      <c r="B58" s="426"/>
      <c r="C58" s="427"/>
      <c r="D58" s="20"/>
      <c r="E58" s="32"/>
      <c r="F58" s="20"/>
      <c r="G58" s="33" t="s">
        <v>55</v>
      </c>
      <c r="H58" s="21"/>
    </row>
    <row r="59" spans="1:8" x14ac:dyDescent="0.35">
      <c r="A59" s="31"/>
      <c r="B59" s="426"/>
      <c r="C59" s="427"/>
      <c r="D59" s="20"/>
      <c r="E59" s="32"/>
      <c r="F59" s="20"/>
      <c r="G59" s="33" t="s">
        <v>55</v>
      </c>
      <c r="H59" s="21"/>
    </row>
    <row r="60" spans="1:8" x14ac:dyDescent="0.35">
      <c r="A60" s="31"/>
      <c r="B60" s="426"/>
      <c r="C60" s="427"/>
      <c r="D60" s="20"/>
      <c r="E60" s="32"/>
      <c r="F60" s="20"/>
      <c r="G60" s="33" t="s">
        <v>55</v>
      </c>
      <c r="H60" s="21"/>
    </row>
    <row r="61" spans="1:8" x14ac:dyDescent="0.35">
      <c r="A61" s="31"/>
      <c r="B61" s="426"/>
      <c r="C61" s="427"/>
      <c r="D61" s="20"/>
      <c r="E61" s="32"/>
      <c r="F61" s="20"/>
      <c r="G61" s="33" t="s">
        <v>55</v>
      </c>
      <c r="H61" s="21"/>
    </row>
    <row r="62" spans="1:8" x14ac:dyDescent="0.35">
      <c r="A62" s="31"/>
      <c r="B62" s="426"/>
      <c r="C62" s="427"/>
      <c r="D62" s="20"/>
      <c r="E62" s="32"/>
      <c r="F62" s="20"/>
      <c r="G62" s="33" t="s">
        <v>55</v>
      </c>
      <c r="H62" s="21"/>
    </row>
    <row r="63" spans="1:8" x14ac:dyDescent="0.35">
      <c r="A63" s="31"/>
      <c r="B63" s="426"/>
      <c r="C63" s="427"/>
      <c r="D63" s="20"/>
      <c r="E63" s="32"/>
      <c r="F63" s="20"/>
      <c r="G63" s="33" t="s">
        <v>55</v>
      </c>
      <c r="H63" s="21"/>
    </row>
    <row r="64" spans="1:8" x14ac:dyDescent="0.35">
      <c r="A64" s="31"/>
      <c r="B64" s="426"/>
      <c r="C64" s="427"/>
      <c r="D64" s="20"/>
      <c r="E64" s="32"/>
      <c r="F64" s="20"/>
      <c r="G64" s="33" t="s">
        <v>55</v>
      </c>
      <c r="H64" s="21"/>
    </row>
    <row r="65" spans="1:8" x14ac:dyDescent="0.35">
      <c r="A65" s="31"/>
      <c r="B65" s="426"/>
      <c r="C65" s="427"/>
      <c r="D65" s="20"/>
      <c r="E65" s="32"/>
      <c r="F65" s="20"/>
      <c r="G65" s="33" t="s">
        <v>55</v>
      </c>
      <c r="H65" s="21"/>
    </row>
    <row r="66" spans="1:8" x14ac:dyDescent="0.35">
      <c r="A66" s="31"/>
      <c r="B66" s="426"/>
      <c r="C66" s="427"/>
      <c r="D66" s="20"/>
      <c r="E66" s="32"/>
      <c r="F66" s="20"/>
      <c r="G66" s="33" t="s">
        <v>55</v>
      </c>
      <c r="H66" s="21"/>
    </row>
    <row r="67" spans="1:8" x14ac:dyDescent="0.35">
      <c r="A67" s="31"/>
      <c r="B67" s="426"/>
      <c r="C67" s="427"/>
      <c r="D67" s="20"/>
      <c r="E67" s="32"/>
      <c r="F67" s="20"/>
      <c r="G67" s="33" t="s">
        <v>55</v>
      </c>
      <c r="H67" s="21"/>
    </row>
    <row r="68" spans="1:8" x14ac:dyDescent="0.35">
      <c r="A68" s="31"/>
      <c r="B68" s="426"/>
      <c r="C68" s="427"/>
      <c r="D68" s="20"/>
      <c r="E68" s="32"/>
      <c r="F68" s="20"/>
      <c r="G68" s="33" t="s">
        <v>55</v>
      </c>
      <c r="H68" s="21"/>
    </row>
    <row r="69" spans="1:8" x14ac:dyDescent="0.35">
      <c r="A69" s="31"/>
      <c r="B69" s="426"/>
      <c r="C69" s="427"/>
      <c r="D69" s="20"/>
      <c r="E69" s="32"/>
      <c r="F69" s="20"/>
      <c r="G69" s="33" t="s">
        <v>55</v>
      </c>
      <c r="H69" s="21"/>
    </row>
    <row r="70" spans="1:8" x14ac:dyDescent="0.35">
      <c r="A70" s="31"/>
      <c r="B70" s="426"/>
      <c r="C70" s="427"/>
      <c r="D70" s="20"/>
      <c r="E70" s="32"/>
      <c r="F70" s="20"/>
      <c r="G70" s="33" t="s">
        <v>55</v>
      </c>
      <c r="H70" s="21"/>
    </row>
    <row r="71" spans="1:8" ht="15" thickBot="1" x14ac:dyDescent="0.4">
      <c r="A71" s="31"/>
      <c r="B71" s="426"/>
      <c r="C71" s="427"/>
      <c r="D71" s="20"/>
      <c r="E71" s="32"/>
      <c r="F71" s="20"/>
      <c r="G71" s="33" t="s">
        <v>55</v>
      </c>
      <c r="H71" s="21"/>
    </row>
    <row r="72" spans="1:8" ht="15" thickBot="1" x14ac:dyDescent="0.4">
      <c r="A72" s="352" t="s">
        <v>33</v>
      </c>
      <c r="B72" s="353"/>
      <c r="C72" s="353"/>
      <c r="D72" s="353"/>
      <c r="E72" s="353"/>
      <c r="F72" s="353"/>
      <c r="G72" s="353"/>
      <c r="H72" s="354"/>
    </row>
    <row r="73" spans="1:8" ht="15" thickBot="1" x14ac:dyDescent="0.4">
      <c r="A73" s="420" t="s">
        <v>64</v>
      </c>
      <c r="B73" s="421"/>
      <c r="C73" s="420" t="str">
        <f>C26</f>
        <v>JOSÉ IGOR GALVÃO SILVA</v>
      </c>
      <c r="D73" s="422"/>
      <c r="E73" s="422"/>
      <c r="F73" s="422"/>
      <c r="G73" s="422"/>
      <c r="H73" s="421"/>
    </row>
    <row r="74" spans="1:8" ht="15" thickBot="1" x14ac:dyDescent="0.4">
      <c r="A74" s="420" t="s">
        <v>36</v>
      </c>
      <c r="B74" s="421"/>
      <c r="C74" s="433">
        <f>C27</f>
        <v>71147506418</v>
      </c>
      <c r="D74" s="434"/>
      <c r="E74" s="28" t="s">
        <v>35</v>
      </c>
      <c r="F74" s="423" t="str">
        <f>F27</f>
        <v>711.475.064-18</v>
      </c>
      <c r="G74" s="424"/>
      <c r="H74" s="425"/>
    </row>
    <row r="75" spans="1:8" ht="15" thickBot="1" x14ac:dyDescent="0.4">
      <c r="A75" s="420" t="s">
        <v>65</v>
      </c>
      <c r="B75" s="421"/>
      <c r="C75" s="435" t="str">
        <f>C28</f>
        <v xml:space="preserve">AJUDANTE  DE OBRAS </v>
      </c>
      <c r="D75" s="436"/>
      <c r="E75" s="34" t="s">
        <v>148</v>
      </c>
      <c r="F75" s="430">
        <f>F28</f>
        <v>46259</v>
      </c>
      <c r="G75" s="431"/>
      <c r="H75" s="432"/>
    </row>
    <row r="76" spans="1:8" ht="15" thickBot="1" x14ac:dyDescent="0.4">
      <c r="A76" s="420" t="s">
        <v>40</v>
      </c>
      <c r="B76" s="421"/>
      <c r="C76" s="420" t="s">
        <v>55</v>
      </c>
      <c r="D76" s="422"/>
      <c r="E76" s="422"/>
      <c r="F76" s="422"/>
      <c r="G76" s="422"/>
      <c r="H76" s="421"/>
    </row>
  </sheetData>
  <mergeCells count="92">
    <mergeCell ref="B59:C59"/>
    <mergeCell ref="B60:C60"/>
    <mergeCell ref="B45:C45"/>
    <mergeCell ref="B46:C46"/>
    <mergeCell ref="B56:C56"/>
    <mergeCell ref="B57:C57"/>
    <mergeCell ref="B55:C55"/>
    <mergeCell ref="B66:C66"/>
    <mergeCell ref="B67:C67"/>
    <mergeCell ref="B71:C71"/>
    <mergeCell ref="B65:C65"/>
    <mergeCell ref="B40:C40"/>
    <mergeCell ref="B61:C61"/>
    <mergeCell ref="B62:C62"/>
    <mergeCell ref="B63:C63"/>
    <mergeCell ref="B64:C64"/>
    <mergeCell ref="B41:C41"/>
    <mergeCell ref="B42:C42"/>
    <mergeCell ref="B43:C43"/>
    <mergeCell ref="B44:C44"/>
    <mergeCell ref="B58:C58"/>
    <mergeCell ref="B54:C54"/>
    <mergeCell ref="B68:C68"/>
    <mergeCell ref="B69:C69"/>
    <mergeCell ref="B70:C70"/>
    <mergeCell ref="F75:H75"/>
    <mergeCell ref="A76:B76"/>
    <mergeCell ref="C76:H76"/>
    <mergeCell ref="A72:H72"/>
    <mergeCell ref="A73:B73"/>
    <mergeCell ref="C73:H73"/>
    <mergeCell ref="A74:B74"/>
    <mergeCell ref="C74:D74"/>
    <mergeCell ref="F74:H74"/>
    <mergeCell ref="A75:B75"/>
    <mergeCell ref="C75:D75"/>
    <mergeCell ref="A36:B36"/>
    <mergeCell ref="C36:H36"/>
    <mergeCell ref="B52:C52"/>
    <mergeCell ref="B53:C53"/>
    <mergeCell ref="A37:B37"/>
    <mergeCell ref="C37:E37"/>
    <mergeCell ref="G37:H37"/>
    <mergeCell ref="A38:B38"/>
    <mergeCell ref="C38:E38"/>
    <mergeCell ref="G38:H38"/>
    <mergeCell ref="B47:C47"/>
    <mergeCell ref="B48:C48"/>
    <mergeCell ref="B49:C49"/>
    <mergeCell ref="B50:C50"/>
    <mergeCell ref="B51:C51"/>
    <mergeCell ref="B39:C39"/>
    <mergeCell ref="B18:C18"/>
    <mergeCell ref="B20:C20"/>
    <mergeCell ref="B19:C19"/>
    <mergeCell ref="A35:H35"/>
    <mergeCell ref="A31:H33"/>
    <mergeCell ref="A34:H34"/>
    <mergeCell ref="B21:C21"/>
    <mergeCell ref="A24:H24"/>
    <mergeCell ref="A25:H25"/>
    <mergeCell ref="F28:H28"/>
    <mergeCell ref="C27:D27"/>
    <mergeCell ref="C28:D28"/>
    <mergeCell ref="A26:B26"/>
    <mergeCell ref="A27:B27"/>
    <mergeCell ref="A28:B28"/>
    <mergeCell ref="B22:C22"/>
    <mergeCell ref="B23:C23"/>
    <mergeCell ref="A29:B29"/>
    <mergeCell ref="C26:H26"/>
    <mergeCell ref="C29:H29"/>
    <mergeCell ref="F27:H27"/>
    <mergeCell ref="A1:H3"/>
    <mergeCell ref="A4:H4"/>
    <mergeCell ref="A5:H5"/>
    <mergeCell ref="A6:B6"/>
    <mergeCell ref="C6:H6"/>
    <mergeCell ref="G7:H7"/>
    <mergeCell ref="B14:C14"/>
    <mergeCell ref="B15:C15"/>
    <mergeCell ref="B16:C16"/>
    <mergeCell ref="B17:C17"/>
    <mergeCell ref="G8:H8"/>
    <mergeCell ref="A7:B7"/>
    <mergeCell ref="A8:B8"/>
    <mergeCell ref="C7:E7"/>
    <mergeCell ref="C8:E8"/>
    <mergeCell ref="A12:H12"/>
    <mergeCell ref="A9:H9"/>
    <mergeCell ref="A10:H10"/>
    <mergeCell ref="A11:H11"/>
  </mergeCells>
  <pageMargins left="0.35433070866141736" right="0.35433070866141736" top="0.35433070866141736" bottom="0.35433070866141736" header="0.31496062992125984" footer="0.31496062992125984"/>
  <pageSetup paperSize="9" orientation="portrait" horizontalDpi="360" verticalDpi="360" r:id="rId1"/>
  <rowBreaks count="1" manualBreakCount="1">
    <brk id="30" max="7"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5"/>
  <sheetViews>
    <sheetView topLeftCell="A35" zoomScale="70" zoomScaleNormal="70" workbookViewId="0">
      <selection activeCell="D19" sqref="D19"/>
    </sheetView>
  </sheetViews>
  <sheetFormatPr defaultRowHeight="14.5" x14ac:dyDescent="0.35"/>
  <cols>
    <col min="1" max="1" width="13.1796875" bestFit="1" customWidth="1"/>
    <col min="2" max="2" width="39.54296875" customWidth="1"/>
    <col min="3" max="3" width="33.453125" bestFit="1" customWidth="1"/>
    <col min="4" max="4" width="44.453125" customWidth="1"/>
    <col min="5" max="5" width="172.81640625" style="88" customWidth="1"/>
    <col min="6" max="6" width="55.54296875" bestFit="1" customWidth="1"/>
    <col min="7" max="7" width="21.54296875" bestFit="1" customWidth="1"/>
  </cols>
  <sheetData>
    <row r="1" spans="1:9" x14ac:dyDescent="0.35">
      <c r="A1" s="51" t="s">
        <v>0</v>
      </c>
      <c r="B1" s="51" t="s">
        <v>1</v>
      </c>
      <c r="C1" s="51" t="s">
        <v>3</v>
      </c>
      <c r="D1" s="51" t="s">
        <v>17</v>
      </c>
      <c r="E1" s="51" t="s">
        <v>2</v>
      </c>
      <c r="F1" s="51" t="s">
        <v>93</v>
      </c>
      <c r="G1" s="51" t="s">
        <v>38</v>
      </c>
    </row>
    <row r="2" spans="1:9" ht="362.5" x14ac:dyDescent="0.35">
      <c r="A2" s="49">
        <v>717020</v>
      </c>
      <c r="B2" s="43" t="s">
        <v>68</v>
      </c>
      <c r="C2" s="48" t="s">
        <v>227</v>
      </c>
      <c r="D2" s="47" t="s">
        <v>418</v>
      </c>
      <c r="E2" s="56" t="s">
        <v>89</v>
      </c>
      <c r="F2" s="48" t="s">
        <v>107</v>
      </c>
      <c r="G2" s="49" t="s">
        <v>39</v>
      </c>
      <c r="I2" s="2"/>
    </row>
    <row r="3" spans="1:9" ht="362.5" x14ac:dyDescent="0.35">
      <c r="A3" s="49" t="s">
        <v>358</v>
      </c>
      <c r="B3" s="50" t="s">
        <v>357</v>
      </c>
      <c r="C3" s="48" t="s">
        <v>227</v>
      </c>
      <c r="D3" s="47" t="s">
        <v>431</v>
      </c>
      <c r="E3" s="56" t="s">
        <v>89</v>
      </c>
      <c r="F3" s="48" t="s">
        <v>107</v>
      </c>
      <c r="G3" s="49" t="s">
        <v>39</v>
      </c>
      <c r="I3" s="2"/>
    </row>
    <row r="4" spans="1:9" ht="200" x14ac:dyDescent="0.35">
      <c r="A4" s="49">
        <v>715315</v>
      </c>
      <c r="B4" s="49" t="s">
        <v>47</v>
      </c>
      <c r="C4" s="47" t="s">
        <v>334</v>
      </c>
      <c r="D4" s="47" t="s">
        <v>422</v>
      </c>
      <c r="E4" s="56" t="s">
        <v>225</v>
      </c>
      <c r="F4" s="48" t="s">
        <v>226</v>
      </c>
      <c r="G4" s="49" t="s">
        <v>39</v>
      </c>
    </row>
    <row r="5" spans="1:9" ht="200" x14ac:dyDescent="0.35">
      <c r="A5" s="49" t="s">
        <v>344</v>
      </c>
      <c r="B5" s="49" t="s">
        <v>47</v>
      </c>
      <c r="C5" s="47" t="s">
        <v>334</v>
      </c>
      <c r="D5" s="47" t="s">
        <v>423</v>
      </c>
      <c r="E5" s="56" t="s">
        <v>225</v>
      </c>
      <c r="F5" s="48" t="s">
        <v>226</v>
      </c>
      <c r="G5" s="49" t="s">
        <v>39</v>
      </c>
    </row>
    <row r="6" spans="1:9" ht="175" x14ac:dyDescent="0.35">
      <c r="A6" s="50" t="s">
        <v>305</v>
      </c>
      <c r="B6" s="50" t="s">
        <v>70</v>
      </c>
      <c r="C6" s="48" t="s">
        <v>335</v>
      </c>
      <c r="D6" s="47" t="s">
        <v>426</v>
      </c>
      <c r="E6" s="56" t="s">
        <v>228</v>
      </c>
      <c r="F6" s="48" t="s">
        <v>252</v>
      </c>
      <c r="G6" s="49" t="s">
        <v>42</v>
      </c>
    </row>
    <row r="7" spans="1:9" ht="330.65" customHeight="1" x14ac:dyDescent="0.35">
      <c r="A7" s="52">
        <v>715505</v>
      </c>
      <c r="B7" s="49" t="s">
        <v>9</v>
      </c>
      <c r="C7" s="47" t="s">
        <v>336</v>
      </c>
      <c r="D7" s="47" t="s">
        <v>444</v>
      </c>
      <c r="E7" s="56" t="s">
        <v>210</v>
      </c>
      <c r="F7" s="48" t="s">
        <v>211</v>
      </c>
      <c r="G7" s="49" t="s">
        <v>39</v>
      </c>
    </row>
    <row r="8" spans="1:9" ht="150" x14ac:dyDescent="0.35">
      <c r="A8" s="43">
        <v>715615</v>
      </c>
      <c r="B8" s="43" t="s">
        <v>347</v>
      </c>
      <c r="C8" s="47" t="s">
        <v>346</v>
      </c>
      <c r="D8" s="72" t="s">
        <v>432</v>
      </c>
      <c r="E8" s="44" t="s">
        <v>290</v>
      </c>
      <c r="F8" s="48" t="s">
        <v>102</v>
      </c>
      <c r="G8" s="49" t="s">
        <v>39</v>
      </c>
    </row>
    <row r="9" spans="1:9" ht="137.5" x14ac:dyDescent="0.35">
      <c r="A9" s="43">
        <v>715605</v>
      </c>
      <c r="B9" s="43" t="s">
        <v>72</v>
      </c>
      <c r="C9" s="47" t="s">
        <v>289</v>
      </c>
      <c r="D9" s="72" t="s">
        <v>427</v>
      </c>
      <c r="E9" s="44" t="s">
        <v>290</v>
      </c>
      <c r="F9" s="48" t="s">
        <v>102</v>
      </c>
      <c r="G9" s="49" t="s">
        <v>39</v>
      </c>
    </row>
    <row r="10" spans="1:9" ht="200" x14ac:dyDescent="0.35">
      <c r="A10" s="49">
        <v>514320</v>
      </c>
      <c r="B10" s="49" t="s">
        <v>69</v>
      </c>
      <c r="C10" s="48" t="s">
        <v>337</v>
      </c>
      <c r="D10" s="47" t="s">
        <v>435</v>
      </c>
      <c r="E10" s="56" t="s">
        <v>104</v>
      </c>
      <c r="F10" s="48" t="s">
        <v>106</v>
      </c>
      <c r="G10" s="49" t="s">
        <v>67</v>
      </c>
    </row>
    <row r="11" spans="1:9" ht="87" x14ac:dyDescent="0.35">
      <c r="A11" s="49" t="s">
        <v>279</v>
      </c>
      <c r="B11" s="49" t="s">
        <v>71</v>
      </c>
      <c r="C11" s="47" t="s">
        <v>321</v>
      </c>
      <c r="D11" s="72" t="s">
        <v>425</v>
      </c>
      <c r="E11" s="44" t="s">
        <v>322</v>
      </c>
      <c r="F11" s="72" t="s">
        <v>139</v>
      </c>
      <c r="G11" s="43" t="s">
        <v>39</v>
      </c>
    </row>
    <row r="12" spans="1:9" ht="333.5" x14ac:dyDescent="0.35">
      <c r="A12" s="43" t="s">
        <v>541</v>
      </c>
      <c r="B12" s="43" t="s">
        <v>587</v>
      </c>
      <c r="C12" s="72" t="s">
        <v>475</v>
      </c>
      <c r="D12" s="137" t="s">
        <v>420</v>
      </c>
      <c r="E12" s="44" t="s">
        <v>129</v>
      </c>
      <c r="F12" s="48" t="s">
        <v>130</v>
      </c>
      <c r="G12" s="49" t="s">
        <v>39</v>
      </c>
    </row>
    <row r="13" spans="1:9" ht="409.5" x14ac:dyDescent="0.35">
      <c r="A13" s="49">
        <v>715110</v>
      </c>
      <c r="B13" s="50" t="s">
        <v>66</v>
      </c>
      <c r="C13" s="48" t="s">
        <v>501</v>
      </c>
      <c r="D13" s="47" t="s">
        <v>419</v>
      </c>
      <c r="E13" s="56" t="s">
        <v>369</v>
      </c>
      <c r="F13" s="48" t="s">
        <v>338</v>
      </c>
      <c r="G13" s="49" t="s">
        <v>39</v>
      </c>
    </row>
    <row r="14" spans="1:9" ht="237.5" x14ac:dyDescent="0.35">
      <c r="A14" s="49" t="s">
        <v>345</v>
      </c>
      <c r="B14" s="49" t="s">
        <v>46</v>
      </c>
      <c r="C14" s="48" t="s">
        <v>339</v>
      </c>
      <c r="D14" s="47" t="s">
        <v>433</v>
      </c>
      <c r="E14" s="56" t="s">
        <v>90</v>
      </c>
      <c r="F14" s="48" t="s">
        <v>108</v>
      </c>
      <c r="G14" s="49" t="s">
        <v>39</v>
      </c>
    </row>
    <row r="15" spans="1:9" ht="237.5" x14ac:dyDescent="0.35">
      <c r="A15" s="49">
        <v>715210</v>
      </c>
      <c r="B15" s="49" t="s">
        <v>46</v>
      </c>
      <c r="C15" s="48" t="s">
        <v>339</v>
      </c>
      <c r="D15" s="47" t="s">
        <v>442</v>
      </c>
      <c r="E15" s="56" t="s">
        <v>90</v>
      </c>
      <c r="F15" s="48" t="s">
        <v>108</v>
      </c>
      <c r="G15" s="49" t="s">
        <v>39</v>
      </c>
    </row>
    <row r="16" spans="1:9" ht="380.5" customHeight="1" x14ac:dyDescent="0.35">
      <c r="A16" s="49">
        <v>351605</v>
      </c>
      <c r="B16" s="50" t="s">
        <v>43</v>
      </c>
      <c r="C16" s="48" t="s">
        <v>340</v>
      </c>
      <c r="D16" s="47" t="s">
        <v>421</v>
      </c>
      <c r="E16" s="56" t="s">
        <v>241</v>
      </c>
      <c r="F16" s="48" t="s">
        <v>242</v>
      </c>
      <c r="G16" s="49" t="s">
        <v>341</v>
      </c>
    </row>
    <row r="17" spans="1:7" ht="145" x14ac:dyDescent="0.35">
      <c r="A17" s="49">
        <v>717010</v>
      </c>
      <c r="B17" s="89" t="s">
        <v>140</v>
      </c>
      <c r="C17" s="72" t="s">
        <v>234</v>
      </c>
      <c r="D17" s="47" t="s">
        <v>424</v>
      </c>
      <c r="E17" s="91" t="s">
        <v>142</v>
      </c>
      <c r="F17" s="93" t="s">
        <v>143</v>
      </c>
      <c r="G17" s="89" t="s">
        <v>39</v>
      </c>
    </row>
    <row r="18" spans="1:7" ht="333.5" x14ac:dyDescent="0.35">
      <c r="A18" s="89">
        <v>782510</v>
      </c>
      <c r="B18" s="89" t="s">
        <v>141</v>
      </c>
      <c r="C18" s="44" t="s">
        <v>145</v>
      </c>
      <c r="D18" s="47" t="s">
        <v>415</v>
      </c>
      <c r="E18" s="91" t="s">
        <v>129</v>
      </c>
      <c r="F18" s="92" t="s">
        <v>144</v>
      </c>
      <c r="G18" s="89" t="s">
        <v>39</v>
      </c>
    </row>
    <row r="19" spans="1:7" ht="333.5" x14ac:dyDescent="0.35">
      <c r="A19" s="95">
        <v>710205</v>
      </c>
      <c r="B19" s="72" t="s">
        <v>215</v>
      </c>
      <c r="C19" s="72" t="s">
        <v>264</v>
      </c>
      <c r="D19" s="47" t="s">
        <v>428</v>
      </c>
      <c r="E19" s="91" t="s">
        <v>216</v>
      </c>
      <c r="F19" s="44" t="s">
        <v>269</v>
      </c>
      <c r="G19" s="49" t="s">
        <v>39</v>
      </c>
    </row>
    <row r="20" spans="1:7" ht="174" x14ac:dyDescent="0.35">
      <c r="A20" s="43" t="s">
        <v>267</v>
      </c>
      <c r="B20" s="43" t="s">
        <v>152</v>
      </c>
      <c r="C20" s="72" t="s">
        <v>494</v>
      </c>
      <c r="D20" s="47" t="s">
        <v>424</v>
      </c>
      <c r="E20" s="91" t="s">
        <v>153</v>
      </c>
      <c r="F20" s="44" t="s">
        <v>154</v>
      </c>
      <c r="G20" s="49" t="s">
        <v>39</v>
      </c>
    </row>
    <row r="21" spans="1:7" ht="377" x14ac:dyDescent="0.35">
      <c r="A21" s="43">
        <v>715125</v>
      </c>
      <c r="B21" s="43" t="s">
        <v>217</v>
      </c>
      <c r="C21" s="129" t="s">
        <v>363</v>
      </c>
      <c r="D21" s="47" t="s">
        <v>416</v>
      </c>
      <c r="E21" s="128" t="s">
        <v>219</v>
      </c>
      <c r="F21" s="44" t="s">
        <v>218</v>
      </c>
      <c r="G21" s="49" t="s">
        <v>39</v>
      </c>
    </row>
    <row r="22" spans="1:7" ht="304.5" x14ac:dyDescent="0.35">
      <c r="A22" s="95">
        <v>770110</v>
      </c>
      <c r="B22" s="72" t="s">
        <v>229</v>
      </c>
      <c r="C22" s="72" t="s">
        <v>230</v>
      </c>
      <c r="D22" s="47" t="s">
        <v>443</v>
      </c>
      <c r="E22" s="91" t="s">
        <v>231</v>
      </c>
      <c r="F22" s="44" t="s">
        <v>232</v>
      </c>
      <c r="G22" s="49" t="s">
        <v>39</v>
      </c>
    </row>
    <row r="23" spans="1:7" ht="409.5" x14ac:dyDescent="0.35">
      <c r="A23" s="49">
        <v>721410</v>
      </c>
      <c r="B23" s="50" t="s">
        <v>235</v>
      </c>
      <c r="C23" s="48" t="s">
        <v>236</v>
      </c>
      <c r="D23" s="47" t="s">
        <v>356</v>
      </c>
      <c r="E23" s="56" t="s">
        <v>237</v>
      </c>
      <c r="F23" s="48" t="s">
        <v>238</v>
      </c>
      <c r="G23" s="49" t="s">
        <v>39</v>
      </c>
    </row>
    <row r="24" spans="1:7" ht="333.5" x14ac:dyDescent="0.35">
      <c r="A24" s="95">
        <v>142415</v>
      </c>
      <c r="B24" s="72" t="s">
        <v>239</v>
      </c>
      <c r="C24" s="72" t="s">
        <v>149</v>
      </c>
      <c r="D24" s="47" t="s">
        <v>430</v>
      </c>
      <c r="E24" s="91" t="s">
        <v>216</v>
      </c>
      <c r="F24" s="44" t="s">
        <v>240</v>
      </c>
      <c r="G24" s="49" t="s">
        <v>39</v>
      </c>
    </row>
    <row r="25" spans="1:7" ht="187.5" x14ac:dyDescent="0.35">
      <c r="A25" s="50">
        <v>214205</v>
      </c>
      <c r="B25" s="50" t="s">
        <v>251</v>
      </c>
      <c r="C25" s="48" t="s">
        <v>440</v>
      </c>
      <c r="D25" s="47" t="s">
        <v>436</v>
      </c>
      <c r="E25" s="56" t="s">
        <v>254</v>
      </c>
      <c r="F25" s="48" t="s">
        <v>253</v>
      </c>
      <c r="G25" s="49" t="s">
        <v>42</v>
      </c>
    </row>
    <row r="26" spans="1:7" ht="319" x14ac:dyDescent="0.35">
      <c r="A26" s="95">
        <v>410105</v>
      </c>
      <c r="B26" s="50" t="s">
        <v>255</v>
      </c>
      <c r="C26" s="72" t="s">
        <v>256</v>
      </c>
      <c r="D26" s="47" t="s">
        <v>439</v>
      </c>
      <c r="E26" s="44" t="s">
        <v>257</v>
      </c>
      <c r="F26" s="44" t="s">
        <v>258</v>
      </c>
      <c r="G26" s="49" t="s">
        <v>42</v>
      </c>
    </row>
    <row r="27" spans="1:7" ht="261" x14ac:dyDescent="0.35">
      <c r="A27" s="95">
        <v>301110</v>
      </c>
      <c r="B27" s="72" t="s">
        <v>259</v>
      </c>
      <c r="C27" s="72" t="s">
        <v>262</v>
      </c>
      <c r="D27" s="47" t="s">
        <v>429</v>
      </c>
      <c r="E27" s="44" t="s">
        <v>260</v>
      </c>
      <c r="F27" s="44" t="s">
        <v>261</v>
      </c>
      <c r="G27" s="49" t="s">
        <v>42</v>
      </c>
    </row>
    <row r="28" spans="1:7" ht="333.5" x14ac:dyDescent="0.35">
      <c r="A28" s="95" t="s">
        <v>268</v>
      </c>
      <c r="B28" s="50" t="s">
        <v>263</v>
      </c>
      <c r="C28" s="72" t="s">
        <v>264</v>
      </c>
      <c r="D28" s="47" t="s">
        <v>417</v>
      </c>
      <c r="E28" s="91" t="s">
        <v>265</v>
      </c>
      <c r="F28" s="44" t="s">
        <v>266</v>
      </c>
      <c r="G28" s="89" t="s">
        <v>39</v>
      </c>
    </row>
    <row r="29" spans="1:7" ht="232" x14ac:dyDescent="0.35">
      <c r="A29" s="95">
        <v>411010</v>
      </c>
      <c r="B29" s="72" t="s">
        <v>271</v>
      </c>
      <c r="C29" s="72" t="s">
        <v>272</v>
      </c>
      <c r="D29" s="47" t="s">
        <v>434</v>
      </c>
      <c r="E29" s="44" t="s">
        <v>273</v>
      </c>
      <c r="F29" s="44" t="s">
        <v>274</v>
      </c>
      <c r="G29" s="49" t="s">
        <v>42</v>
      </c>
    </row>
    <row r="30" spans="1:7" ht="281.14999999999998" customHeight="1" x14ac:dyDescent="0.35">
      <c r="A30" s="135">
        <v>312320</v>
      </c>
      <c r="B30" s="43" t="s">
        <v>590</v>
      </c>
      <c r="C30" s="48" t="s">
        <v>473</v>
      </c>
      <c r="D30" s="47" t="s">
        <v>425</v>
      </c>
      <c r="E30" s="91" t="s">
        <v>275</v>
      </c>
      <c r="F30" s="44" t="s">
        <v>276</v>
      </c>
      <c r="G30" s="49" t="s">
        <v>39</v>
      </c>
    </row>
    <row r="31" spans="1:7" ht="276.64999999999998" customHeight="1" x14ac:dyDescent="0.35">
      <c r="A31" s="135" t="s">
        <v>591</v>
      </c>
      <c r="B31" s="50" t="s">
        <v>277</v>
      </c>
      <c r="C31" s="48" t="s">
        <v>493</v>
      </c>
      <c r="D31" s="47" t="s">
        <v>425</v>
      </c>
      <c r="E31" s="91" t="s">
        <v>275</v>
      </c>
      <c r="F31" s="44" t="s">
        <v>278</v>
      </c>
      <c r="G31" s="49" t="s">
        <v>39</v>
      </c>
    </row>
    <row r="32" spans="1:7" ht="237.5" x14ac:dyDescent="0.35">
      <c r="A32" s="49">
        <v>254110</v>
      </c>
      <c r="B32" s="50" t="s">
        <v>280</v>
      </c>
      <c r="C32" s="48" t="s">
        <v>282</v>
      </c>
      <c r="D32" s="47" t="s">
        <v>430</v>
      </c>
      <c r="E32" s="56" t="s">
        <v>241</v>
      </c>
      <c r="F32" s="48" t="s">
        <v>281</v>
      </c>
      <c r="G32" s="49" t="s">
        <v>39</v>
      </c>
    </row>
    <row r="33" spans="1:7" ht="253.5" customHeight="1" x14ac:dyDescent="0.35">
      <c r="A33" s="49">
        <v>913115</v>
      </c>
      <c r="B33" s="50" t="s">
        <v>283</v>
      </c>
      <c r="C33" s="136" t="s">
        <v>284</v>
      </c>
      <c r="D33" s="44" t="s">
        <v>103</v>
      </c>
      <c r="E33" s="44" t="s">
        <v>285</v>
      </c>
      <c r="F33" s="44" t="s">
        <v>298</v>
      </c>
      <c r="G33" s="49" t="s">
        <v>39</v>
      </c>
    </row>
    <row r="34" spans="1:7" ht="300" x14ac:dyDescent="0.35">
      <c r="A34" s="49">
        <v>913120</v>
      </c>
      <c r="B34" s="49" t="s">
        <v>286</v>
      </c>
      <c r="C34" s="47" t="s">
        <v>491</v>
      </c>
      <c r="D34" s="72" t="s">
        <v>446</v>
      </c>
      <c r="E34" s="137" t="s">
        <v>292</v>
      </c>
      <c r="F34" s="72" t="s">
        <v>287</v>
      </c>
      <c r="G34" s="43" t="s">
        <v>304</v>
      </c>
    </row>
    <row r="35" spans="1:7" ht="275" x14ac:dyDescent="0.35">
      <c r="A35" s="49">
        <v>914405</v>
      </c>
      <c r="B35" s="49" t="s">
        <v>288</v>
      </c>
      <c r="C35" s="47" t="s">
        <v>474</v>
      </c>
      <c r="D35" s="72" t="s">
        <v>437</v>
      </c>
      <c r="E35" s="137" t="s">
        <v>291</v>
      </c>
      <c r="F35" s="72" t="s">
        <v>299</v>
      </c>
      <c r="G35" s="43" t="s">
        <v>304</v>
      </c>
    </row>
    <row r="36" spans="1:7" ht="275" x14ac:dyDescent="0.35">
      <c r="A36" s="49">
        <v>919110</v>
      </c>
      <c r="B36" s="49" t="s">
        <v>293</v>
      </c>
      <c r="C36" s="47" t="s">
        <v>294</v>
      </c>
      <c r="D36" s="72" t="s">
        <v>359</v>
      </c>
      <c r="E36" s="139" t="s">
        <v>296</v>
      </c>
      <c r="F36" s="72" t="s">
        <v>297</v>
      </c>
      <c r="G36" s="43" t="s">
        <v>304</v>
      </c>
    </row>
    <row r="37" spans="1:7" ht="116" x14ac:dyDescent="0.35">
      <c r="A37" s="95">
        <v>414105</v>
      </c>
      <c r="B37" s="50" t="s">
        <v>300</v>
      </c>
      <c r="C37" s="72" t="s">
        <v>342</v>
      </c>
      <c r="D37" s="47" t="s">
        <v>343</v>
      </c>
      <c r="E37" s="44" t="s">
        <v>301</v>
      </c>
      <c r="F37" s="44" t="s">
        <v>302</v>
      </c>
      <c r="G37" s="138" t="s">
        <v>303</v>
      </c>
    </row>
    <row r="38" spans="1:7" ht="198" customHeight="1" x14ac:dyDescent="0.35">
      <c r="A38" s="50" t="s">
        <v>306</v>
      </c>
      <c r="B38" s="50" t="s">
        <v>307</v>
      </c>
      <c r="C38" s="48" t="s">
        <v>488</v>
      </c>
      <c r="D38" s="47" t="s">
        <v>332</v>
      </c>
      <c r="E38" s="56" t="s">
        <v>228</v>
      </c>
      <c r="F38" s="48" t="s">
        <v>308</v>
      </c>
      <c r="G38" s="49" t="s">
        <v>39</v>
      </c>
    </row>
    <row r="39" spans="1:7" ht="145" x14ac:dyDescent="0.35">
      <c r="A39" s="95">
        <v>414205</v>
      </c>
      <c r="B39" s="72" t="s">
        <v>309</v>
      </c>
      <c r="C39" s="72" t="s">
        <v>311</v>
      </c>
      <c r="D39" s="47" t="s">
        <v>441</v>
      </c>
      <c r="E39" s="44" t="s">
        <v>310</v>
      </c>
      <c r="F39" s="44" t="s">
        <v>274</v>
      </c>
      <c r="G39" s="49" t="s">
        <v>39</v>
      </c>
    </row>
    <row r="40" spans="1:7" ht="248" x14ac:dyDescent="0.35">
      <c r="A40" s="49">
        <v>919110</v>
      </c>
      <c r="B40" s="49" t="s">
        <v>312</v>
      </c>
      <c r="C40" s="47" t="s">
        <v>313</v>
      </c>
      <c r="D40" s="72" t="s">
        <v>295</v>
      </c>
      <c r="E40" s="139" t="s">
        <v>314</v>
      </c>
      <c r="F40" s="72" t="s">
        <v>315</v>
      </c>
      <c r="G40" s="43" t="s">
        <v>304</v>
      </c>
    </row>
    <row r="41" spans="1:7" ht="174" x14ac:dyDescent="0.35">
      <c r="A41" s="49">
        <v>715705</v>
      </c>
      <c r="B41" s="89" t="s">
        <v>316</v>
      </c>
      <c r="C41" s="72" t="s">
        <v>317</v>
      </c>
      <c r="D41" s="47" t="s">
        <v>438</v>
      </c>
      <c r="E41" s="91" t="s">
        <v>318</v>
      </c>
      <c r="F41" s="93" t="s">
        <v>319</v>
      </c>
      <c r="G41" s="89" t="s">
        <v>39</v>
      </c>
    </row>
    <row r="42" spans="1:7" ht="162.5" x14ac:dyDescent="0.35">
      <c r="A42" s="50">
        <v>391145</v>
      </c>
      <c r="B42" s="50" t="s">
        <v>324</v>
      </c>
      <c r="C42" s="48" t="s">
        <v>327</v>
      </c>
      <c r="D42" s="47" t="s">
        <v>332</v>
      </c>
      <c r="E42" s="56" t="s">
        <v>325</v>
      </c>
      <c r="F42" s="48" t="s">
        <v>326</v>
      </c>
      <c r="G42" s="49" t="s">
        <v>42</v>
      </c>
    </row>
    <row r="43" spans="1:7" ht="150" x14ac:dyDescent="0.35">
      <c r="A43" s="49">
        <v>992115</v>
      </c>
      <c r="B43" s="49" t="s">
        <v>328</v>
      </c>
      <c r="C43" s="47" t="s">
        <v>329</v>
      </c>
      <c r="D43" s="72" t="s">
        <v>295</v>
      </c>
      <c r="E43" s="137" t="s">
        <v>330</v>
      </c>
      <c r="F43" s="72" t="s">
        <v>331</v>
      </c>
      <c r="G43" s="43" t="s">
        <v>304</v>
      </c>
    </row>
    <row r="44" spans="1:7" ht="225" x14ac:dyDescent="0.35">
      <c r="A44" s="49" t="s">
        <v>367</v>
      </c>
      <c r="B44" s="138" t="s">
        <v>364</v>
      </c>
      <c r="C44" s="48" t="s">
        <v>365</v>
      </c>
      <c r="D44" s="47" t="s">
        <v>445</v>
      </c>
      <c r="E44" s="56" t="s">
        <v>368</v>
      </c>
      <c r="F44" s="48" t="s">
        <v>366</v>
      </c>
      <c r="G44" s="49" t="s">
        <v>39</v>
      </c>
    </row>
    <row r="45" spans="1:7" ht="304.5" x14ac:dyDescent="0.35">
      <c r="A45" s="95" t="s">
        <v>543</v>
      </c>
      <c r="B45" s="72" t="s">
        <v>492</v>
      </c>
      <c r="C45" s="72" t="s">
        <v>542</v>
      </c>
      <c r="D45" s="47" t="s">
        <v>355</v>
      </c>
      <c r="E45" s="91" t="s">
        <v>216</v>
      </c>
      <c r="F45" s="44" t="s">
        <v>349</v>
      </c>
      <c r="G45" s="49" t="s">
        <v>39</v>
      </c>
    </row>
    <row r="46" spans="1:7" ht="275.5" x14ac:dyDescent="0.35">
      <c r="A46" s="49">
        <v>342115</v>
      </c>
      <c r="B46" s="50" t="s">
        <v>350</v>
      </c>
      <c r="C46" s="72" t="s">
        <v>354</v>
      </c>
      <c r="D46" s="72" t="s">
        <v>351</v>
      </c>
      <c r="E46" s="139" t="s">
        <v>352</v>
      </c>
      <c r="F46" s="72" t="s">
        <v>353</v>
      </c>
      <c r="G46" s="43" t="s">
        <v>304</v>
      </c>
    </row>
    <row r="47" spans="1:7" ht="341" x14ac:dyDescent="0.35">
      <c r="A47" s="49">
        <v>910105</v>
      </c>
      <c r="B47" s="50" t="s">
        <v>370</v>
      </c>
      <c r="C47" s="72" t="s">
        <v>371</v>
      </c>
      <c r="D47" s="72" t="s">
        <v>295</v>
      </c>
      <c r="E47" s="139" t="s">
        <v>372</v>
      </c>
      <c r="F47" s="72" t="s">
        <v>373</v>
      </c>
      <c r="G47" s="43" t="s">
        <v>304</v>
      </c>
    </row>
    <row r="48" spans="1:7" ht="188.5" x14ac:dyDescent="0.35">
      <c r="A48" s="49">
        <v>214405</v>
      </c>
      <c r="B48" s="50" t="s">
        <v>374</v>
      </c>
      <c r="C48" s="72" t="s">
        <v>375</v>
      </c>
      <c r="D48" s="72" t="s">
        <v>376</v>
      </c>
      <c r="E48" s="139" t="s">
        <v>377</v>
      </c>
      <c r="F48" s="72" t="s">
        <v>378</v>
      </c>
      <c r="G48" s="43" t="s">
        <v>304</v>
      </c>
    </row>
    <row r="49" spans="1:7" ht="187.5" x14ac:dyDescent="0.35">
      <c r="A49" s="50" t="s">
        <v>380</v>
      </c>
      <c r="B49" s="50" t="s">
        <v>383</v>
      </c>
      <c r="C49" s="48" t="s">
        <v>381</v>
      </c>
      <c r="D49" s="72" t="s">
        <v>454</v>
      </c>
      <c r="E49" s="56" t="s">
        <v>382</v>
      </c>
      <c r="F49" s="72" t="s">
        <v>390</v>
      </c>
      <c r="G49" s="49" t="s">
        <v>42</v>
      </c>
    </row>
    <row r="50" spans="1:7" ht="290" x14ac:dyDescent="0.35">
      <c r="A50" s="95" t="s">
        <v>389</v>
      </c>
      <c r="B50" s="50" t="s">
        <v>384</v>
      </c>
      <c r="C50" s="72" t="s">
        <v>385</v>
      </c>
      <c r="D50" s="47" t="s">
        <v>386</v>
      </c>
      <c r="E50" s="44" t="s">
        <v>387</v>
      </c>
      <c r="F50" s="44" t="s">
        <v>388</v>
      </c>
      <c r="G50" s="49" t="s">
        <v>42</v>
      </c>
    </row>
    <row r="51" spans="1:7" ht="275" x14ac:dyDescent="0.35">
      <c r="A51" s="50" t="s">
        <v>391</v>
      </c>
      <c r="B51" s="50" t="s">
        <v>392</v>
      </c>
      <c r="C51" s="72" t="s">
        <v>394</v>
      </c>
      <c r="D51" s="47" t="s">
        <v>386</v>
      </c>
      <c r="E51" s="56" t="s">
        <v>393</v>
      </c>
      <c r="F51" s="48" t="s">
        <v>400</v>
      </c>
      <c r="G51" s="49" t="s">
        <v>42</v>
      </c>
    </row>
    <row r="52" spans="1:7" ht="312.5" x14ac:dyDescent="0.35">
      <c r="A52" s="50" t="s">
        <v>396</v>
      </c>
      <c r="B52" s="50" t="s">
        <v>395</v>
      </c>
      <c r="C52" s="72" t="s">
        <v>397</v>
      </c>
      <c r="D52" s="47" t="s">
        <v>386</v>
      </c>
      <c r="E52" s="56" t="s">
        <v>398</v>
      </c>
      <c r="F52" s="48" t="s">
        <v>399</v>
      </c>
      <c r="G52" s="49" t="s">
        <v>42</v>
      </c>
    </row>
    <row r="53" spans="1:7" ht="232" x14ac:dyDescent="0.35">
      <c r="A53" s="50" t="s">
        <v>403</v>
      </c>
      <c r="B53" s="50" t="s">
        <v>401</v>
      </c>
      <c r="C53" s="72" t="s">
        <v>402</v>
      </c>
      <c r="D53" s="47" t="s">
        <v>386</v>
      </c>
      <c r="E53" s="56" t="s">
        <v>404</v>
      </c>
      <c r="F53" s="48" t="s">
        <v>405</v>
      </c>
      <c r="G53" s="49" t="s">
        <v>42</v>
      </c>
    </row>
    <row r="54" spans="1:7" ht="187.5" x14ac:dyDescent="0.35">
      <c r="A54" s="49">
        <v>514310</v>
      </c>
      <c r="B54" s="50" t="s">
        <v>407</v>
      </c>
      <c r="C54" s="72" t="s">
        <v>408</v>
      </c>
      <c r="D54" s="72" t="s">
        <v>409</v>
      </c>
      <c r="E54" s="137" t="s">
        <v>410</v>
      </c>
      <c r="F54" s="72" t="s">
        <v>411</v>
      </c>
      <c r="G54" s="43" t="s">
        <v>412</v>
      </c>
    </row>
    <row r="55" spans="1:7" ht="212.5" x14ac:dyDescent="0.35">
      <c r="A55" s="49">
        <v>715405</v>
      </c>
      <c r="B55" s="138" t="s">
        <v>447</v>
      </c>
      <c r="C55" s="48" t="s">
        <v>448</v>
      </c>
      <c r="D55" s="47" t="s">
        <v>442</v>
      </c>
      <c r="E55" s="56" t="s">
        <v>449</v>
      </c>
      <c r="F55" s="48" t="s">
        <v>450</v>
      </c>
      <c r="G55" s="49" t="s">
        <v>39</v>
      </c>
    </row>
    <row r="56" spans="1:7" ht="333.5" x14ac:dyDescent="0.35">
      <c r="A56" s="89">
        <v>782305</v>
      </c>
      <c r="B56" s="89" t="s">
        <v>270</v>
      </c>
      <c r="C56" s="72" t="s">
        <v>333</v>
      </c>
      <c r="D56" s="137" t="s">
        <v>420</v>
      </c>
      <c r="E56" s="44" t="s">
        <v>129</v>
      </c>
      <c r="F56" s="48" t="s">
        <v>130</v>
      </c>
      <c r="G56" s="49" t="s">
        <v>39</v>
      </c>
    </row>
    <row r="57" spans="1:7" ht="192" customHeight="1" x14ac:dyDescent="0.35">
      <c r="A57" s="50" t="s">
        <v>477</v>
      </c>
      <c r="B57" s="50" t="s">
        <v>478</v>
      </c>
      <c r="C57" s="48" t="s">
        <v>479</v>
      </c>
      <c r="D57" s="47" t="s">
        <v>332</v>
      </c>
      <c r="E57" s="56" t="s">
        <v>228</v>
      </c>
      <c r="F57" s="48" t="s">
        <v>485</v>
      </c>
      <c r="G57" s="49" t="s">
        <v>39</v>
      </c>
    </row>
    <row r="58" spans="1:7" ht="222" customHeight="1" x14ac:dyDescent="0.35">
      <c r="A58" s="50" t="s">
        <v>476</v>
      </c>
      <c r="B58" s="50" t="s">
        <v>480</v>
      </c>
      <c r="C58" s="48" t="s">
        <v>481</v>
      </c>
      <c r="D58" s="47" t="s">
        <v>482</v>
      </c>
      <c r="E58" s="56" t="s">
        <v>483</v>
      </c>
      <c r="F58" s="48" t="s">
        <v>484</v>
      </c>
      <c r="G58" s="49" t="s">
        <v>39</v>
      </c>
    </row>
    <row r="59" spans="1:7" ht="333.5" x14ac:dyDescent="0.35">
      <c r="A59" s="95" t="s">
        <v>486</v>
      </c>
      <c r="B59" s="50" t="s">
        <v>487</v>
      </c>
      <c r="C59" s="72" t="s">
        <v>264</v>
      </c>
      <c r="D59" s="47" t="s">
        <v>417</v>
      </c>
      <c r="E59" s="91" t="s">
        <v>265</v>
      </c>
      <c r="F59" s="44" t="s">
        <v>266</v>
      </c>
      <c r="G59" s="89" t="s">
        <v>39</v>
      </c>
    </row>
    <row r="60" spans="1:7" ht="277" customHeight="1" x14ac:dyDescent="0.35">
      <c r="A60" s="49">
        <v>214915</v>
      </c>
      <c r="B60" s="50" t="s">
        <v>489</v>
      </c>
      <c r="C60" s="48" t="s">
        <v>490</v>
      </c>
      <c r="D60" s="47" t="s">
        <v>421</v>
      </c>
      <c r="E60" s="56" t="s">
        <v>241</v>
      </c>
      <c r="F60" s="48" t="s">
        <v>242</v>
      </c>
      <c r="G60" s="49" t="s">
        <v>341</v>
      </c>
    </row>
    <row r="61" spans="1:7" ht="187.5" x14ac:dyDescent="0.35">
      <c r="A61" s="49" t="s">
        <v>497</v>
      </c>
      <c r="B61" s="50" t="s">
        <v>496</v>
      </c>
      <c r="C61" s="48" t="s">
        <v>381</v>
      </c>
      <c r="D61" s="47" t="s">
        <v>436</v>
      </c>
      <c r="E61" s="56" t="s">
        <v>254</v>
      </c>
      <c r="F61" s="48" t="s">
        <v>498</v>
      </c>
      <c r="G61" s="49" t="s">
        <v>42</v>
      </c>
    </row>
    <row r="62" spans="1:7" ht="285.64999999999998" customHeight="1" x14ac:dyDescent="0.35">
      <c r="A62" s="135" t="s">
        <v>499</v>
      </c>
      <c r="B62" s="50" t="s">
        <v>500</v>
      </c>
      <c r="C62" s="48" t="s">
        <v>493</v>
      </c>
      <c r="D62" s="47" t="s">
        <v>425</v>
      </c>
      <c r="E62" s="91" t="s">
        <v>275</v>
      </c>
      <c r="F62" s="44" t="s">
        <v>278</v>
      </c>
      <c r="G62" s="49" t="s">
        <v>39</v>
      </c>
    </row>
    <row r="63" spans="1:7" ht="200" x14ac:dyDescent="0.35">
      <c r="A63" s="50" t="s">
        <v>502</v>
      </c>
      <c r="B63" s="50" t="s">
        <v>503</v>
      </c>
      <c r="C63" s="48" t="s">
        <v>504</v>
      </c>
      <c r="D63" s="47" t="s">
        <v>505</v>
      </c>
      <c r="E63" s="56" t="s">
        <v>506</v>
      </c>
      <c r="F63" s="48" t="s">
        <v>507</v>
      </c>
    </row>
    <row r="64" spans="1:7" ht="156" customHeight="1" x14ac:dyDescent="0.35">
      <c r="A64" s="49" t="s">
        <v>509</v>
      </c>
      <c r="B64" s="49" t="s">
        <v>495</v>
      </c>
      <c r="C64" s="48" t="s">
        <v>510</v>
      </c>
      <c r="D64" s="47" t="s">
        <v>511</v>
      </c>
      <c r="E64" s="56" t="s">
        <v>512</v>
      </c>
      <c r="F64" s="48" t="s">
        <v>513</v>
      </c>
      <c r="G64" s="49" t="s">
        <v>39</v>
      </c>
    </row>
    <row r="65" spans="1:7" ht="333.5" x14ac:dyDescent="0.35">
      <c r="A65" s="43" t="s">
        <v>519</v>
      </c>
      <c r="B65" s="43" t="s">
        <v>517</v>
      </c>
      <c r="C65" s="72" t="s">
        <v>518</v>
      </c>
      <c r="D65" s="137" t="s">
        <v>420</v>
      </c>
      <c r="E65" s="44" t="s">
        <v>129</v>
      </c>
      <c r="F65" s="48" t="s">
        <v>130</v>
      </c>
      <c r="G65" s="49" t="s">
        <v>39</v>
      </c>
    </row>
    <row r="66" spans="1:7" ht="409.5" x14ac:dyDescent="0.35">
      <c r="A66" s="49" t="s">
        <v>522</v>
      </c>
      <c r="B66" s="50" t="s">
        <v>520</v>
      </c>
      <c r="C66" s="48" t="s">
        <v>521</v>
      </c>
      <c r="D66" s="47" t="s">
        <v>419</v>
      </c>
      <c r="E66" s="56" t="s">
        <v>369</v>
      </c>
      <c r="F66" s="48" t="s">
        <v>338</v>
      </c>
      <c r="G66" s="49" t="s">
        <v>39</v>
      </c>
    </row>
    <row r="67" spans="1:7" ht="304.5" x14ac:dyDescent="0.35">
      <c r="A67" s="95">
        <v>710205</v>
      </c>
      <c r="B67" s="72" t="s">
        <v>544</v>
      </c>
      <c r="C67" s="72" t="s">
        <v>542</v>
      </c>
      <c r="D67" s="47" t="s">
        <v>355</v>
      </c>
      <c r="E67" s="91" t="s">
        <v>216</v>
      </c>
      <c r="F67" s="44" t="s">
        <v>349</v>
      </c>
      <c r="G67" s="49" t="s">
        <v>39</v>
      </c>
    </row>
    <row r="68" spans="1:7" ht="246.5" x14ac:dyDescent="0.35">
      <c r="A68" s="95" t="s">
        <v>523</v>
      </c>
      <c r="B68" s="50" t="s">
        <v>525</v>
      </c>
      <c r="C68" s="72" t="s">
        <v>524</v>
      </c>
      <c r="D68" s="47" t="s">
        <v>439</v>
      </c>
      <c r="E68" s="44" t="s">
        <v>257</v>
      </c>
      <c r="F68" s="44" t="s">
        <v>258</v>
      </c>
      <c r="G68" s="49" t="s">
        <v>42</v>
      </c>
    </row>
    <row r="69" spans="1:7" ht="294" customHeight="1" x14ac:dyDescent="0.35">
      <c r="A69" s="50" t="s">
        <v>526</v>
      </c>
      <c r="B69" s="50" t="s">
        <v>527</v>
      </c>
      <c r="C69" s="48" t="s">
        <v>528</v>
      </c>
      <c r="D69" s="47" t="s">
        <v>529</v>
      </c>
      <c r="E69" s="56" t="s">
        <v>530</v>
      </c>
      <c r="F69" s="48" t="s">
        <v>531</v>
      </c>
      <c r="G69" s="49" t="s">
        <v>42</v>
      </c>
    </row>
    <row r="70" spans="1:7" ht="319" x14ac:dyDescent="0.35">
      <c r="A70" s="95" t="s">
        <v>532</v>
      </c>
      <c r="B70" s="50" t="s">
        <v>533</v>
      </c>
      <c r="C70" s="72" t="s">
        <v>534</v>
      </c>
      <c r="D70" s="47" t="s">
        <v>535</v>
      </c>
      <c r="E70" s="44" t="s">
        <v>536</v>
      </c>
      <c r="F70" s="44" t="s">
        <v>537</v>
      </c>
      <c r="G70" s="49" t="s">
        <v>42</v>
      </c>
    </row>
    <row r="71" spans="1:7" ht="333.5" x14ac:dyDescent="0.35">
      <c r="A71" s="43" t="s">
        <v>538</v>
      </c>
      <c r="B71" s="43" t="s">
        <v>539</v>
      </c>
      <c r="C71" s="72" t="s">
        <v>540</v>
      </c>
      <c r="D71" s="137" t="s">
        <v>420</v>
      </c>
      <c r="E71" s="44" t="s">
        <v>129</v>
      </c>
      <c r="F71" s="48" t="s">
        <v>130</v>
      </c>
      <c r="G71" s="49" t="s">
        <v>39</v>
      </c>
    </row>
    <row r="72" spans="1:7" ht="237.5" x14ac:dyDescent="0.35">
      <c r="A72" s="49" t="s">
        <v>546</v>
      </c>
      <c r="B72" s="50" t="s">
        <v>547</v>
      </c>
      <c r="C72" s="48" t="s">
        <v>548</v>
      </c>
      <c r="D72" s="47" t="s">
        <v>549</v>
      </c>
      <c r="E72" s="56" t="s">
        <v>550</v>
      </c>
      <c r="F72" s="48" t="s">
        <v>551</v>
      </c>
      <c r="G72" s="49" t="s">
        <v>39</v>
      </c>
    </row>
    <row r="73" spans="1:7" ht="275" x14ac:dyDescent="0.35">
      <c r="A73" s="50">
        <v>214010</v>
      </c>
      <c r="B73" s="50" t="s">
        <v>552</v>
      </c>
      <c r="C73" s="48" t="s">
        <v>553</v>
      </c>
      <c r="D73" s="47" t="s">
        <v>529</v>
      </c>
      <c r="E73" s="56" t="s">
        <v>554</v>
      </c>
      <c r="F73" s="48" t="s">
        <v>555</v>
      </c>
      <c r="G73" s="49" t="s">
        <v>39</v>
      </c>
    </row>
    <row r="74" spans="1:7" ht="300" x14ac:dyDescent="0.35">
      <c r="A74" s="49">
        <v>913120</v>
      </c>
      <c r="B74" s="49" t="s">
        <v>286</v>
      </c>
      <c r="C74" s="47" t="s">
        <v>491</v>
      </c>
      <c r="D74" s="72" t="s">
        <v>446</v>
      </c>
      <c r="E74" s="137" t="s">
        <v>292</v>
      </c>
      <c r="F74" s="72" t="s">
        <v>287</v>
      </c>
      <c r="G74" s="43" t="s">
        <v>304</v>
      </c>
    </row>
    <row r="75" spans="1:7" ht="304.5" x14ac:dyDescent="0.35">
      <c r="A75" s="95" t="s">
        <v>556</v>
      </c>
      <c r="B75" s="72" t="s">
        <v>545</v>
      </c>
      <c r="C75" s="72" t="s">
        <v>567</v>
      </c>
      <c r="D75" s="47" t="s">
        <v>355</v>
      </c>
      <c r="E75" s="91" t="s">
        <v>558</v>
      </c>
      <c r="F75" s="44" t="s">
        <v>557</v>
      </c>
      <c r="G75" s="49" t="s">
        <v>39</v>
      </c>
    </row>
    <row r="76" spans="1:7" ht="362.5" x14ac:dyDescent="0.35">
      <c r="A76" s="89">
        <v>782515</v>
      </c>
      <c r="B76" s="177" t="s">
        <v>559</v>
      </c>
      <c r="C76" s="72" t="s">
        <v>475</v>
      </c>
      <c r="D76" s="137" t="s">
        <v>420</v>
      </c>
      <c r="E76" s="44" t="s">
        <v>560</v>
      </c>
      <c r="F76" s="48" t="s">
        <v>561</v>
      </c>
      <c r="G76" s="49" t="s">
        <v>39</v>
      </c>
    </row>
    <row r="77" spans="1:7" ht="350" x14ac:dyDescent="0.35">
      <c r="A77" s="49">
        <v>724315</v>
      </c>
      <c r="B77" s="49" t="s">
        <v>562</v>
      </c>
      <c r="C77" s="47" t="s">
        <v>563</v>
      </c>
      <c r="D77" s="72" t="s">
        <v>564</v>
      </c>
      <c r="E77" s="137" t="s">
        <v>565</v>
      </c>
      <c r="F77" s="72" t="s">
        <v>566</v>
      </c>
      <c r="G77" s="43" t="s">
        <v>304</v>
      </c>
    </row>
    <row r="78" spans="1:7" ht="304.5" x14ac:dyDescent="0.35">
      <c r="A78" s="95" t="s">
        <v>569</v>
      </c>
      <c r="B78" s="72" t="s">
        <v>568</v>
      </c>
      <c r="C78" s="72" t="s">
        <v>570</v>
      </c>
      <c r="D78" s="47" t="s">
        <v>417</v>
      </c>
      <c r="E78" s="91" t="s">
        <v>216</v>
      </c>
      <c r="F78" s="44" t="s">
        <v>571</v>
      </c>
      <c r="G78" s="49" t="s">
        <v>39</v>
      </c>
    </row>
    <row r="79" spans="1:7" ht="304.5" x14ac:dyDescent="0.35">
      <c r="A79" s="95" t="s">
        <v>574</v>
      </c>
      <c r="B79" s="72" t="s">
        <v>572</v>
      </c>
      <c r="C79" s="72" t="s">
        <v>575</v>
      </c>
      <c r="D79" s="47" t="s">
        <v>355</v>
      </c>
      <c r="E79" s="91" t="s">
        <v>576</v>
      </c>
      <c r="F79" s="44" t="s">
        <v>577</v>
      </c>
      <c r="G79" s="49" t="s">
        <v>39</v>
      </c>
    </row>
    <row r="80" spans="1:7" x14ac:dyDescent="0.35">
      <c r="A80" s="439" t="s">
        <v>582</v>
      </c>
      <c r="B80" s="440" t="s">
        <v>578</v>
      </c>
      <c r="C80" s="441" t="s">
        <v>579</v>
      </c>
      <c r="D80" s="442" t="s">
        <v>418</v>
      </c>
      <c r="E80" s="279" t="s">
        <v>580</v>
      </c>
      <c r="F80" s="441" t="s">
        <v>581</v>
      </c>
      <c r="G80" s="439" t="s">
        <v>39</v>
      </c>
    </row>
    <row r="81" spans="1:7" ht="409.5" customHeight="1" x14ac:dyDescent="0.35">
      <c r="A81" s="439"/>
      <c r="B81" s="440"/>
      <c r="C81" s="441"/>
      <c r="D81" s="442"/>
      <c r="E81" s="279"/>
      <c r="F81" s="441"/>
      <c r="G81" s="439"/>
    </row>
    <row r="82" spans="1:7" x14ac:dyDescent="0.35">
      <c r="A82" s="439" t="s">
        <v>583</v>
      </c>
      <c r="B82" s="440" t="s">
        <v>584</v>
      </c>
      <c r="C82" s="441" t="s">
        <v>579</v>
      </c>
      <c r="D82" s="442" t="s">
        <v>418</v>
      </c>
      <c r="E82" s="279" t="s">
        <v>585</v>
      </c>
      <c r="F82" s="441" t="s">
        <v>586</v>
      </c>
      <c r="G82" s="439" t="s">
        <v>39</v>
      </c>
    </row>
    <row r="83" spans="1:7" ht="409.5" customHeight="1" x14ac:dyDescent="0.35">
      <c r="A83" s="439"/>
      <c r="B83" s="440"/>
      <c r="C83" s="441"/>
      <c r="D83" s="442"/>
      <c r="E83" s="279"/>
      <c r="F83" s="441"/>
      <c r="G83" s="439"/>
    </row>
    <row r="84" spans="1:7" x14ac:dyDescent="0.35">
      <c r="A84" s="1"/>
      <c r="B84" s="1"/>
      <c r="C84" s="3"/>
      <c r="D84" s="3"/>
    </row>
    <row r="85" spans="1:7" x14ac:dyDescent="0.35">
      <c r="A85" s="1"/>
      <c r="B85" s="1"/>
      <c r="C85" s="3"/>
      <c r="D85" s="3"/>
    </row>
    <row r="86" spans="1:7" x14ac:dyDescent="0.35">
      <c r="A86" s="1"/>
      <c r="B86" s="1"/>
      <c r="C86" s="3"/>
      <c r="D86" s="3"/>
    </row>
    <row r="87" spans="1:7" x14ac:dyDescent="0.35">
      <c r="A87" s="1"/>
      <c r="B87" s="1"/>
      <c r="C87" s="3"/>
      <c r="D87" s="3"/>
    </row>
    <row r="88" spans="1:7" x14ac:dyDescent="0.35">
      <c r="A88" s="1"/>
      <c r="B88" s="1"/>
      <c r="C88" s="3"/>
      <c r="D88" s="3"/>
    </row>
    <row r="89" spans="1:7" x14ac:dyDescent="0.35">
      <c r="A89" s="1"/>
      <c r="B89" s="1"/>
      <c r="C89" s="3"/>
      <c r="D89" s="3"/>
    </row>
    <row r="90" spans="1:7" x14ac:dyDescent="0.35">
      <c r="A90" s="1"/>
      <c r="B90" s="1"/>
      <c r="C90" s="3"/>
      <c r="D90" s="3"/>
    </row>
    <row r="91" spans="1:7" x14ac:dyDescent="0.35">
      <c r="A91" s="1"/>
      <c r="B91" s="1"/>
      <c r="C91" s="3"/>
      <c r="D91" s="3"/>
    </row>
    <row r="92" spans="1:7" x14ac:dyDescent="0.35">
      <c r="A92" s="1"/>
      <c r="B92" s="1"/>
      <c r="C92" s="3"/>
      <c r="D92" s="3"/>
    </row>
    <row r="93" spans="1:7" x14ac:dyDescent="0.35">
      <c r="A93" s="1"/>
      <c r="B93" s="1"/>
      <c r="C93" s="3"/>
      <c r="D93" s="3"/>
    </row>
    <row r="94" spans="1:7" x14ac:dyDescent="0.35">
      <c r="A94" s="1"/>
      <c r="B94" s="1"/>
      <c r="C94" s="3"/>
      <c r="D94" s="3"/>
    </row>
    <row r="95" spans="1:7" x14ac:dyDescent="0.35">
      <c r="A95" s="1"/>
      <c r="B95" s="1"/>
      <c r="C95" s="3"/>
      <c r="D95" s="3"/>
    </row>
    <row r="96" spans="1:7" x14ac:dyDescent="0.35">
      <c r="A96" s="1"/>
      <c r="B96" s="1"/>
      <c r="C96" s="3"/>
      <c r="D96" s="3"/>
    </row>
    <row r="97" spans="1:4" x14ac:dyDescent="0.35">
      <c r="A97" s="1"/>
      <c r="B97" s="1"/>
      <c r="C97" s="3"/>
      <c r="D97" s="3"/>
    </row>
    <row r="98" spans="1:4" x14ac:dyDescent="0.35">
      <c r="A98" s="1"/>
      <c r="B98" s="1"/>
      <c r="C98" s="3"/>
      <c r="D98" s="3"/>
    </row>
    <row r="99" spans="1:4" x14ac:dyDescent="0.35">
      <c r="A99" s="1"/>
      <c r="B99" s="1"/>
      <c r="C99" s="3"/>
      <c r="D99" s="3"/>
    </row>
    <row r="100" spans="1:4" x14ac:dyDescent="0.35">
      <c r="A100" s="1"/>
      <c r="B100" s="1"/>
      <c r="C100" s="3"/>
      <c r="D100" s="3"/>
    </row>
    <row r="101" spans="1:4" x14ac:dyDescent="0.35">
      <c r="A101" s="1"/>
      <c r="B101" s="1"/>
      <c r="C101" s="3"/>
      <c r="D101" s="3"/>
    </row>
    <row r="102" spans="1:4" x14ac:dyDescent="0.35">
      <c r="A102" s="1"/>
      <c r="B102" s="1"/>
      <c r="C102" s="3"/>
      <c r="D102" s="3"/>
    </row>
    <row r="103" spans="1:4" x14ac:dyDescent="0.35">
      <c r="A103" s="1"/>
      <c r="B103" s="1"/>
      <c r="C103" s="3"/>
      <c r="D103" s="3"/>
    </row>
    <row r="104" spans="1:4" x14ac:dyDescent="0.35">
      <c r="A104" s="1"/>
      <c r="B104" s="1"/>
      <c r="C104" s="3"/>
      <c r="D104" s="3"/>
    </row>
    <row r="105" spans="1:4" x14ac:dyDescent="0.35">
      <c r="A105" s="1"/>
      <c r="B105" s="1"/>
      <c r="C105" s="3"/>
      <c r="D105" s="3"/>
    </row>
    <row r="106" spans="1:4" x14ac:dyDescent="0.35">
      <c r="A106" s="1"/>
      <c r="B106" s="1"/>
      <c r="C106" s="3"/>
      <c r="D106" s="3"/>
    </row>
    <row r="107" spans="1:4" x14ac:dyDescent="0.35">
      <c r="A107" s="1"/>
      <c r="B107" s="1"/>
      <c r="C107" s="3"/>
      <c r="D107" s="3"/>
    </row>
    <row r="108" spans="1:4" x14ac:dyDescent="0.35">
      <c r="A108" s="1"/>
      <c r="B108" s="1"/>
      <c r="C108" s="3"/>
      <c r="D108" s="3"/>
    </row>
    <row r="109" spans="1:4" x14ac:dyDescent="0.35">
      <c r="A109" s="1"/>
      <c r="B109" s="1"/>
      <c r="C109" s="3"/>
      <c r="D109" s="3"/>
    </row>
    <row r="110" spans="1:4" x14ac:dyDescent="0.35">
      <c r="A110" s="1"/>
      <c r="B110" s="1"/>
      <c r="C110" s="3"/>
      <c r="D110" s="3"/>
    </row>
    <row r="111" spans="1:4" x14ac:dyDescent="0.35">
      <c r="A111" s="1"/>
      <c r="B111" s="1"/>
      <c r="C111" s="3"/>
      <c r="D111" s="3"/>
    </row>
    <row r="112" spans="1:4" x14ac:dyDescent="0.35">
      <c r="A112" s="1"/>
      <c r="B112" s="1"/>
      <c r="C112" s="3"/>
      <c r="D112" s="3"/>
    </row>
    <row r="113" spans="1:4" x14ac:dyDescent="0.35">
      <c r="A113" s="1"/>
      <c r="B113" s="1"/>
      <c r="C113" s="3"/>
      <c r="D113" s="3"/>
    </row>
    <row r="114" spans="1:4" x14ac:dyDescent="0.35">
      <c r="A114" s="1"/>
      <c r="B114" s="1"/>
      <c r="C114" s="3"/>
      <c r="D114" s="3"/>
    </row>
    <row r="115" spans="1:4" x14ac:dyDescent="0.35">
      <c r="A115" s="1"/>
      <c r="B115" s="1"/>
      <c r="C115" s="3"/>
      <c r="D115" s="3"/>
    </row>
    <row r="116" spans="1:4" x14ac:dyDescent="0.35">
      <c r="A116" s="1"/>
      <c r="B116" s="1"/>
      <c r="C116" s="3"/>
      <c r="D116" s="3"/>
    </row>
    <row r="117" spans="1:4" x14ac:dyDescent="0.35">
      <c r="A117" s="1"/>
      <c r="B117" s="1"/>
      <c r="C117" s="3"/>
      <c r="D117" s="3"/>
    </row>
    <row r="118" spans="1:4" x14ac:dyDescent="0.35">
      <c r="A118" s="1"/>
      <c r="B118" s="1"/>
      <c r="C118" s="3"/>
      <c r="D118" s="3"/>
    </row>
    <row r="119" spans="1:4" x14ac:dyDescent="0.35">
      <c r="A119" s="1"/>
      <c r="B119" s="1"/>
      <c r="C119" s="3"/>
      <c r="D119" s="3"/>
    </row>
    <row r="120" spans="1:4" x14ac:dyDescent="0.35">
      <c r="A120" s="1"/>
      <c r="B120" s="1"/>
      <c r="C120" s="3"/>
      <c r="D120" s="3"/>
    </row>
    <row r="121" spans="1:4" x14ac:dyDescent="0.35">
      <c r="A121" s="1"/>
      <c r="B121" s="1"/>
      <c r="C121" s="3"/>
      <c r="D121" s="3"/>
    </row>
    <row r="122" spans="1:4" x14ac:dyDescent="0.35">
      <c r="A122" s="1"/>
      <c r="B122" s="1"/>
      <c r="C122" s="3"/>
      <c r="D122" s="3"/>
    </row>
    <row r="123" spans="1:4" x14ac:dyDescent="0.35">
      <c r="A123" s="1"/>
      <c r="B123" s="1"/>
      <c r="C123" s="3"/>
      <c r="D123" s="3"/>
    </row>
    <row r="124" spans="1:4" x14ac:dyDescent="0.35">
      <c r="A124" s="1"/>
      <c r="B124" s="1"/>
      <c r="C124" s="3"/>
      <c r="D124" s="3"/>
    </row>
    <row r="125" spans="1:4" x14ac:dyDescent="0.35">
      <c r="A125" s="1"/>
      <c r="B125" s="1"/>
      <c r="C125" s="3"/>
      <c r="D125" s="3"/>
    </row>
    <row r="126" spans="1:4" x14ac:dyDescent="0.35">
      <c r="A126" s="1"/>
      <c r="B126" s="1"/>
      <c r="C126" s="3"/>
      <c r="D126" s="3"/>
    </row>
    <row r="127" spans="1:4" x14ac:dyDescent="0.35">
      <c r="A127" s="1"/>
      <c r="B127" s="1"/>
      <c r="C127" s="3"/>
      <c r="D127" s="3"/>
    </row>
    <row r="128" spans="1:4" x14ac:dyDescent="0.35">
      <c r="A128" s="1"/>
      <c r="B128" s="1"/>
      <c r="C128" s="3"/>
      <c r="D128" s="3"/>
    </row>
    <row r="129" spans="1:4" x14ac:dyDescent="0.35">
      <c r="A129" s="1"/>
      <c r="B129" s="1"/>
      <c r="C129" s="3"/>
      <c r="D129" s="3"/>
    </row>
    <row r="130" spans="1:4" x14ac:dyDescent="0.35">
      <c r="A130" s="1"/>
      <c r="B130" s="1"/>
      <c r="C130" s="3"/>
      <c r="D130" s="3"/>
    </row>
    <row r="131" spans="1:4" x14ac:dyDescent="0.35">
      <c r="A131" s="1"/>
      <c r="B131" s="1"/>
      <c r="C131" s="3"/>
      <c r="D131" s="3"/>
    </row>
    <row r="132" spans="1:4" x14ac:dyDescent="0.35">
      <c r="A132" s="1"/>
      <c r="B132" s="1"/>
      <c r="C132" s="3"/>
      <c r="D132" s="3"/>
    </row>
    <row r="133" spans="1:4" x14ac:dyDescent="0.35">
      <c r="A133" s="1"/>
      <c r="B133" s="1"/>
      <c r="C133" s="3"/>
      <c r="D133" s="3"/>
    </row>
    <row r="134" spans="1:4" x14ac:dyDescent="0.35">
      <c r="A134" s="1"/>
      <c r="B134" s="1"/>
      <c r="C134" s="3"/>
      <c r="D134" s="3"/>
    </row>
    <row r="135" spans="1:4" x14ac:dyDescent="0.35">
      <c r="A135" s="1"/>
      <c r="B135" s="1"/>
      <c r="C135" s="3"/>
      <c r="D135" s="3"/>
    </row>
    <row r="136" spans="1:4" x14ac:dyDescent="0.35">
      <c r="A136" s="1"/>
      <c r="B136" s="1"/>
      <c r="C136" s="3"/>
      <c r="D136" s="3"/>
    </row>
    <row r="137" spans="1:4" x14ac:dyDescent="0.35">
      <c r="A137" s="1"/>
      <c r="B137" s="1"/>
      <c r="C137" s="3"/>
      <c r="D137" s="3"/>
    </row>
    <row r="138" spans="1:4" x14ac:dyDescent="0.35">
      <c r="A138" s="1"/>
      <c r="B138" s="1"/>
      <c r="C138" s="3"/>
      <c r="D138" s="3"/>
    </row>
    <row r="139" spans="1:4" x14ac:dyDescent="0.35">
      <c r="A139" s="1"/>
      <c r="B139" s="1"/>
      <c r="C139" s="3"/>
      <c r="D139" s="3"/>
    </row>
    <row r="140" spans="1:4" x14ac:dyDescent="0.35">
      <c r="A140" s="1"/>
      <c r="B140" s="1"/>
      <c r="C140" s="3"/>
      <c r="D140" s="3"/>
    </row>
    <row r="141" spans="1:4" x14ac:dyDescent="0.35">
      <c r="A141" s="1"/>
      <c r="B141" s="1"/>
      <c r="C141" s="3"/>
      <c r="D141" s="3"/>
    </row>
    <row r="142" spans="1:4" x14ac:dyDescent="0.35">
      <c r="A142" s="1"/>
      <c r="B142" s="1"/>
      <c r="C142" s="3"/>
      <c r="D142" s="3"/>
    </row>
    <row r="143" spans="1:4" x14ac:dyDescent="0.35">
      <c r="A143" s="1"/>
      <c r="B143" s="1"/>
      <c r="C143" s="3"/>
      <c r="D143" s="3"/>
    </row>
    <row r="144" spans="1:4" x14ac:dyDescent="0.35">
      <c r="A144" s="1"/>
      <c r="B144" s="1"/>
      <c r="C144" s="3"/>
      <c r="D144" s="3"/>
    </row>
    <row r="145" spans="1:4" x14ac:dyDescent="0.35">
      <c r="A145" s="1"/>
      <c r="B145" s="1"/>
      <c r="C145" s="3"/>
      <c r="D145" s="3"/>
    </row>
    <row r="146" spans="1:4" x14ac:dyDescent="0.35">
      <c r="A146" s="1"/>
      <c r="B146" s="1"/>
      <c r="C146" s="3"/>
      <c r="D146" s="3"/>
    </row>
    <row r="147" spans="1:4" x14ac:dyDescent="0.35">
      <c r="A147" s="1"/>
      <c r="B147" s="1"/>
      <c r="C147" s="3"/>
      <c r="D147" s="3"/>
    </row>
    <row r="148" spans="1:4" x14ac:dyDescent="0.35">
      <c r="A148" s="1"/>
      <c r="B148" s="1"/>
      <c r="C148" s="3"/>
      <c r="D148" s="3"/>
    </row>
    <row r="149" spans="1:4" x14ac:dyDescent="0.35">
      <c r="A149" s="1"/>
      <c r="B149" s="1"/>
      <c r="C149" s="3"/>
      <c r="D149" s="3"/>
    </row>
    <row r="150" spans="1:4" x14ac:dyDescent="0.35">
      <c r="A150" s="1"/>
      <c r="B150" s="1"/>
      <c r="C150" s="3"/>
      <c r="D150" s="3"/>
    </row>
    <row r="151" spans="1:4" x14ac:dyDescent="0.35">
      <c r="A151" s="1"/>
      <c r="B151" s="1"/>
      <c r="C151" s="3"/>
      <c r="D151" s="3"/>
    </row>
    <row r="152" spans="1:4" x14ac:dyDescent="0.35">
      <c r="A152" s="1"/>
      <c r="B152" s="1"/>
      <c r="C152" s="3"/>
      <c r="D152" s="3"/>
    </row>
    <row r="153" spans="1:4" x14ac:dyDescent="0.35">
      <c r="A153" s="1"/>
      <c r="B153" s="1"/>
      <c r="C153" s="3"/>
      <c r="D153" s="3"/>
    </row>
    <row r="154" spans="1:4" x14ac:dyDescent="0.35">
      <c r="A154" s="1"/>
      <c r="B154" s="1"/>
      <c r="C154" s="3"/>
      <c r="D154" s="3"/>
    </row>
    <row r="155" spans="1:4" x14ac:dyDescent="0.35">
      <c r="A155" s="1"/>
      <c r="B155" s="1"/>
      <c r="C155" s="3"/>
      <c r="D155" s="3"/>
    </row>
    <row r="156" spans="1:4" x14ac:dyDescent="0.35">
      <c r="A156" s="1"/>
      <c r="B156" s="1"/>
      <c r="C156" s="3"/>
      <c r="D156" s="3"/>
    </row>
    <row r="157" spans="1:4" x14ac:dyDescent="0.35">
      <c r="A157" s="1"/>
      <c r="B157" s="1"/>
      <c r="C157" s="3"/>
      <c r="D157" s="3"/>
    </row>
    <row r="158" spans="1:4" x14ac:dyDescent="0.35">
      <c r="A158" s="1"/>
      <c r="B158" s="1"/>
      <c r="C158" s="3"/>
      <c r="D158" s="3"/>
    </row>
    <row r="159" spans="1:4" x14ac:dyDescent="0.35">
      <c r="A159" s="1"/>
      <c r="B159" s="1"/>
      <c r="C159" s="3"/>
      <c r="D159" s="3"/>
    </row>
    <row r="160" spans="1:4" x14ac:dyDescent="0.35">
      <c r="A160" s="1"/>
      <c r="B160" s="1"/>
      <c r="C160" s="3"/>
      <c r="D160" s="3"/>
    </row>
    <row r="161" spans="1:4" x14ac:dyDescent="0.35">
      <c r="A161" s="1"/>
      <c r="B161" s="1"/>
      <c r="C161" s="3"/>
      <c r="D161" s="3"/>
    </row>
    <row r="162" spans="1:4" x14ac:dyDescent="0.35">
      <c r="A162" s="1"/>
      <c r="B162" s="1"/>
      <c r="C162" s="3"/>
      <c r="D162" s="3"/>
    </row>
    <row r="163" spans="1:4" x14ac:dyDescent="0.35">
      <c r="A163" s="1"/>
      <c r="B163" s="1"/>
      <c r="C163" s="3"/>
      <c r="D163" s="3"/>
    </row>
    <row r="164" spans="1:4" x14ac:dyDescent="0.35">
      <c r="A164" s="1"/>
      <c r="B164" s="1"/>
      <c r="C164" s="3"/>
      <c r="D164" s="3"/>
    </row>
    <row r="165" spans="1:4" x14ac:dyDescent="0.35">
      <c r="A165" s="1"/>
      <c r="B165" s="1"/>
      <c r="C165" s="3"/>
      <c r="D165" s="3"/>
    </row>
    <row r="166" spans="1:4" x14ac:dyDescent="0.35">
      <c r="A166" s="1"/>
      <c r="B166" s="1"/>
      <c r="C166" s="3"/>
      <c r="D166" s="3"/>
    </row>
    <row r="167" spans="1:4" x14ac:dyDescent="0.35">
      <c r="A167" s="1"/>
      <c r="B167" s="1"/>
      <c r="C167" s="3"/>
      <c r="D167" s="3"/>
    </row>
    <row r="168" spans="1:4" x14ac:dyDescent="0.35">
      <c r="A168" s="1"/>
      <c r="B168" s="1"/>
      <c r="C168" s="3"/>
      <c r="D168" s="3"/>
    </row>
    <row r="169" spans="1:4" x14ac:dyDescent="0.35">
      <c r="A169" s="1"/>
      <c r="B169" s="1"/>
      <c r="C169" s="3"/>
      <c r="D169" s="3"/>
    </row>
    <row r="170" spans="1:4" x14ac:dyDescent="0.35">
      <c r="A170" s="1"/>
      <c r="B170" s="1"/>
      <c r="C170" s="3"/>
      <c r="D170" s="3"/>
    </row>
    <row r="171" spans="1:4" x14ac:dyDescent="0.35">
      <c r="A171" s="1"/>
      <c r="B171" s="1"/>
      <c r="C171" s="3"/>
      <c r="D171" s="3"/>
    </row>
    <row r="172" spans="1:4" x14ac:dyDescent="0.35">
      <c r="A172" s="1"/>
      <c r="B172" s="1"/>
      <c r="C172" s="3"/>
      <c r="D172" s="3"/>
    </row>
    <row r="173" spans="1:4" x14ac:dyDescent="0.35">
      <c r="A173" s="1"/>
      <c r="B173" s="1"/>
      <c r="C173" s="3"/>
      <c r="D173" s="3"/>
    </row>
    <row r="174" spans="1:4" x14ac:dyDescent="0.35">
      <c r="A174" s="1"/>
      <c r="B174" s="1"/>
      <c r="C174" s="3"/>
      <c r="D174" s="3"/>
    </row>
    <row r="175" spans="1:4" x14ac:dyDescent="0.35">
      <c r="A175" s="1"/>
      <c r="B175" s="1"/>
      <c r="C175" s="3"/>
      <c r="D175" s="3"/>
    </row>
    <row r="176" spans="1:4" x14ac:dyDescent="0.35">
      <c r="A176" s="1"/>
      <c r="B176" s="1"/>
      <c r="C176" s="3"/>
      <c r="D176" s="3"/>
    </row>
    <row r="177" spans="1:4" x14ac:dyDescent="0.35">
      <c r="A177" s="1"/>
      <c r="B177" s="1"/>
      <c r="C177" s="3"/>
      <c r="D177" s="3"/>
    </row>
    <row r="178" spans="1:4" x14ac:dyDescent="0.35">
      <c r="A178" s="1"/>
      <c r="B178" s="1"/>
      <c r="C178" s="3"/>
      <c r="D178" s="3"/>
    </row>
    <row r="179" spans="1:4" x14ac:dyDescent="0.35">
      <c r="A179" s="1"/>
      <c r="B179" s="1"/>
      <c r="C179" s="3"/>
      <c r="D179" s="3"/>
    </row>
    <row r="180" spans="1:4" x14ac:dyDescent="0.35">
      <c r="A180" s="1"/>
      <c r="B180" s="1"/>
      <c r="C180" s="3"/>
      <c r="D180" s="3"/>
    </row>
    <row r="181" spans="1:4" x14ac:dyDescent="0.35">
      <c r="A181" s="1"/>
      <c r="B181" s="1"/>
      <c r="C181" s="3"/>
      <c r="D181" s="3"/>
    </row>
    <row r="182" spans="1:4" x14ac:dyDescent="0.35">
      <c r="A182" s="1"/>
      <c r="B182" s="1"/>
      <c r="C182" s="3"/>
      <c r="D182" s="3"/>
    </row>
    <row r="183" spans="1:4" x14ac:dyDescent="0.35">
      <c r="A183" s="1"/>
      <c r="B183" s="1"/>
      <c r="C183" s="3"/>
      <c r="D183" s="3"/>
    </row>
    <row r="184" spans="1:4" x14ac:dyDescent="0.35">
      <c r="A184" s="1"/>
      <c r="B184" s="1"/>
      <c r="C184" s="3"/>
      <c r="D184" s="3"/>
    </row>
    <row r="185" spans="1:4" x14ac:dyDescent="0.35">
      <c r="A185" s="1"/>
      <c r="B185" s="1"/>
      <c r="C185" s="3"/>
      <c r="D185" s="3"/>
    </row>
    <row r="186" spans="1:4" x14ac:dyDescent="0.35">
      <c r="A186" s="1"/>
      <c r="B186" s="1"/>
      <c r="C186" s="3"/>
      <c r="D186" s="3"/>
    </row>
    <row r="187" spans="1:4" x14ac:dyDescent="0.35">
      <c r="A187" s="1"/>
      <c r="B187" s="1"/>
      <c r="C187" s="3"/>
      <c r="D187" s="3"/>
    </row>
    <row r="188" spans="1:4" x14ac:dyDescent="0.35">
      <c r="A188" s="1"/>
      <c r="B188" s="1"/>
      <c r="C188" s="3"/>
      <c r="D188" s="3"/>
    </row>
    <row r="189" spans="1:4" x14ac:dyDescent="0.35">
      <c r="A189" s="1"/>
      <c r="B189" s="1"/>
      <c r="C189" s="3"/>
      <c r="D189" s="3"/>
    </row>
    <row r="190" spans="1:4" x14ac:dyDescent="0.35">
      <c r="A190" s="1"/>
      <c r="B190" s="1"/>
      <c r="C190" s="3"/>
      <c r="D190" s="3"/>
    </row>
    <row r="191" spans="1:4" x14ac:dyDescent="0.35">
      <c r="A191" s="1"/>
      <c r="B191" s="1"/>
      <c r="C191" s="3"/>
      <c r="D191" s="3"/>
    </row>
    <row r="192" spans="1:4" x14ac:dyDescent="0.35">
      <c r="A192" s="1"/>
      <c r="B192" s="1"/>
      <c r="C192" s="3"/>
      <c r="D192" s="3"/>
    </row>
    <row r="193" spans="1:4" x14ac:dyDescent="0.35">
      <c r="A193" s="1"/>
      <c r="B193" s="1"/>
      <c r="C193" s="3"/>
      <c r="D193" s="3"/>
    </row>
    <row r="194" spans="1:4" x14ac:dyDescent="0.35">
      <c r="A194" s="1"/>
      <c r="B194" s="1"/>
      <c r="C194" s="3"/>
      <c r="D194" s="3"/>
    </row>
    <row r="195" spans="1:4" x14ac:dyDescent="0.35">
      <c r="A195" s="1"/>
      <c r="B195" s="1"/>
      <c r="C195" s="3"/>
      <c r="D195" s="3"/>
    </row>
    <row r="196" spans="1:4" x14ac:dyDescent="0.35">
      <c r="A196" s="1"/>
      <c r="B196" s="1"/>
      <c r="C196" s="3"/>
      <c r="D196" s="3"/>
    </row>
    <row r="197" spans="1:4" x14ac:dyDescent="0.35">
      <c r="A197" s="1"/>
      <c r="B197" s="1"/>
      <c r="C197" s="3"/>
      <c r="D197" s="3"/>
    </row>
    <row r="198" spans="1:4" x14ac:dyDescent="0.35">
      <c r="A198" s="1"/>
      <c r="B198" s="1"/>
      <c r="C198" s="3"/>
      <c r="D198" s="3"/>
    </row>
    <row r="199" spans="1:4" x14ac:dyDescent="0.35">
      <c r="A199" s="1"/>
      <c r="B199" s="1"/>
      <c r="C199" s="3"/>
      <c r="D199" s="3"/>
    </row>
    <row r="200" spans="1:4" x14ac:dyDescent="0.35">
      <c r="A200" s="1"/>
      <c r="B200" s="1"/>
      <c r="C200" s="3"/>
      <c r="D200" s="3"/>
    </row>
    <row r="201" spans="1:4" x14ac:dyDescent="0.35">
      <c r="A201" s="1"/>
      <c r="B201" s="1"/>
      <c r="C201" s="3"/>
      <c r="D201" s="3"/>
    </row>
    <row r="202" spans="1:4" x14ac:dyDescent="0.35">
      <c r="A202" s="1"/>
      <c r="B202" s="1"/>
      <c r="C202" s="3"/>
      <c r="D202" s="3"/>
    </row>
    <row r="203" spans="1:4" x14ac:dyDescent="0.35">
      <c r="A203" s="1"/>
      <c r="B203" s="1"/>
      <c r="C203" s="3"/>
      <c r="D203" s="3"/>
    </row>
    <row r="204" spans="1:4" x14ac:dyDescent="0.35">
      <c r="A204" s="1"/>
      <c r="B204" s="1"/>
      <c r="C204" s="3"/>
      <c r="D204" s="3"/>
    </row>
    <row r="205" spans="1:4" x14ac:dyDescent="0.35">
      <c r="A205" s="1"/>
      <c r="B205" s="1"/>
      <c r="C205" s="3"/>
      <c r="D205" s="3"/>
    </row>
    <row r="206" spans="1:4" x14ac:dyDescent="0.35">
      <c r="A206" s="1"/>
      <c r="B206" s="1"/>
      <c r="C206" s="3"/>
      <c r="D206" s="3"/>
    </row>
    <row r="207" spans="1:4" x14ac:dyDescent="0.35">
      <c r="A207" s="1"/>
      <c r="B207" s="1"/>
      <c r="C207" s="3"/>
      <c r="D207" s="3"/>
    </row>
    <row r="208" spans="1:4" x14ac:dyDescent="0.35">
      <c r="A208" s="1"/>
      <c r="B208" s="1"/>
      <c r="C208" s="3"/>
      <c r="D208" s="3"/>
    </row>
    <row r="209" spans="1:4" x14ac:dyDescent="0.35">
      <c r="A209" s="1"/>
      <c r="B209" s="1"/>
      <c r="C209" s="3"/>
      <c r="D209" s="3"/>
    </row>
    <row r="210" spans="1:4" x14ac:dyDescent="0.35">
      <c r="A210" s="1"/>
      <c r="B210" s="1"/>
      <c r="C210" s="3"/>
      <c r="D210" s="3"/>
    </row>
    <row r="211" spans="1:4" x14ac:dyDescent="0.35">
      <c r="A211" s="1"/>
      <c r="B211" s="1"/>
      <c r="C211" s="3"/>
      <c r="D211" s="3"/>
    </row>
    <row r="212" spans="1:4" x14ac:dyDescent="0.35">
      <c r="A212" s="1"/>
      <c r="B212" s="1"/>
      <c r="C212" s="3"/>
      <c r="D212" s="3"/>
    </row>
    <row r="213" spans="1:4" x14ac:dyDescent="0.35">
      <c r="A213" s="1"/>
      <c r="B213" s="1"/>
      <c r="C213" s="3"/>
      <c r="D213" s="3"/>
    </row>
    <row r="214" spans="1:4" x14ac:dyDescent="0.35">
      <c r="A214" s="1"/>
      <c r="B214" s="1"/>
      <c r="C214" s="3"/>
      <c r="D214" s="3"/>
    </row>
    <row r="215" spans="1:4" x14ac:dyDescent="0.35">
      <c r="A215" s="1"/>
      <c r="B215" s="1"/>
      <c r="C215" s="3"/>
      <c r="D215" s="3"/>
    </row>
    <row r="216" spans="1:4" x14ac:dyDescent="0.35">
      <c r="A216" s="1"/>
      <c r="B216" s="1"/>
      <c r="C216" s="3"/>
      <c r="D216" s="3"/>
    </row>
    <row r="217" spans="1:4" x14ac:dyDescent="0.35">
      <c r="A217" s="1"/>
      <c r="B217" s="1"/>
      <c r="C217" s="3"/>
      <c r="D217" s="3"/>
    </row>
    <row r="218" spans="1:4" x14ac:dyDescent="0.35">
      <c r="A218" s="1"/>
      <c r="B218" s="1"/>
      <c r="C218" s="3"/>
      <c r="D218" s="3"/>
    </row>
    <row r="219" spans="1:4" x14ac:dyDescent="0.35">
      <c r="A219" s="1"/>
      <c r="B219" s="1"/>
      <c r="C219" s="3"/>
      <c r="D219" s="3"/>
    </row>
    <row r="220" spans="1:4" x14ac:dyDescent="0.35">
      <c r="A220" s="1"/>
      <c r="B220" s="1"/>
      <c r="C220" s="3"/>
      <c r="D220" s="3"/>
    </row>
    <row r="221" spans="1:4" x14ac:dyDescent="0.35">
      <c r="A221" s="1"/>
      <c r="B221" s="1"/>
      <c r="C221" s="3"/>
      <c r="D221" s="3"/>
    </row>
    <row r="222" spans="1:4" x14ac:dyDescent="0.35">
      <c r="A222" s="1"/>
      <c r="B222" s="1"/>
      <c r="C222" s="3"/>
      <c r="D222" s="3"/>
    </row>
    <row r="223" spans="1:4" x14ac:dyDescent="0.35">
      <c r="A223" s="1"/>
      <c r="B223" s="1"/>
      <c r="C223" s="3"/>
      <c r="D223" s="3"/>
    </row>
    <row r="224" spans="1:4" x14ac:dyDescent="0.35">
      <c r="A224" s="1"/>
      <c r="B224" s="1"/>
      <c r="C224" s="3"/>
      <c r="D224" s="3"/>
    </row>
    <row r="225" spans="1:4" x14ac:dyDescent="0.35">
      <c r="A225" s="1"/>
      <c r="B225" s="1"/>
      <c r="C225" s="3"/>
      <c r="D225" s="3"/>
    </row>
    <row r="226" spans="1:4" x14ac:dyDescent="0.35">
      <c r="A226" s="1"/>
      <c r="B226" s="1"/>
      <c r="C226" s="3"/>
      <c r="D226" s="3"/>
    </row>
    <row r="227" spans="1:4" x14ac:dyDescent="0.35">
      <c r="A227" s="1"/>
      <c r="B227" s="1"/>
      <c r="C227" s="3"/>
      <c r="D227" s="3"/>
    </row>
    <row r="228" spans="1:4" x14ac:dyDescent="0.35">
      <c r="A228" s="1"/>
      <c r="B228" s="1"/>
      <c r="C228" s="3"/>
      <c r="D228" s="3"/>
    </row>
    <row r="229" spans="1:4" x14ac:dyDescent="0.35">
      <c r="A229" s="1"/>
      <c r="B229" s="1"/>
      <c r="C229" s="3"/>
      <c r="D229" s="3"/>
    </row>
    <row r="230" spans="1:4" x14ac:dyDescent="0.35">
      <c r="A230" s="1"/>
      <c r="B230" s="1"/>
      <c r="C230" s="3"/>
      <c r="D230" s="3"/>
    </row>
    <row r="231" spans="1:4" x14ac:dyDescent="0.35">
      <c r="A231" s="1"/>
      <c r="B231" s="1"/>
      <c r="C231" s="3"/>
      <c r="D231" s="3"/>
    </row>
    <row r="232" spans="1:4" x14ac:dyDescent="0.35">
      <c r="A232" s="1"/>
      <c r="B232" s="1"/>
      <c r="C232" s="3"/>
      <c r="D232" s="3"/>
    </row>
    <row r="233" spans="1:4" x14ac:dyDescent="0.35">
      <c r="A233" s="1"/>
      <c r="B233" s="1"/>
      <c r="C233" s="3"/>
      <c r="D233" s="3"/>
    </row>
    <row r="234" spans="1:4" x14ac:dyDescent="0.35">
      <c r="A234" s="1"/>
      <c r="B234" s="1"/>
      <c r="C234" s="3"/>
      <c r="D234" s="3"/>
    </row>
    <row r="235" spans="1:4" x14ac:dyDescent="0.35">
      <c r="A235" s="1"/>
      <c r="B235" s="1"/>
      <c r="C235" s="3"/>
      <c r="D235" s="3"/>
    </row>
    <row r="236" spans="1:4" x14ac:dyDescent="0.35">
      <c r="A236" s="1"/>
      <c r="B236" s="1"/>
      <c r="C236" s="3"/>
      <c r="D236" s="3"/>
    </row>
    <row r="237" spans="1:4" x14ac:dyDescent="0.35">
      <c r="A237" s="1"/>
      <c r="B237" s="1"/>
      <c r="C237" s="3"/>
      <c r="D237" s="3"/>
    </row>
    <row r="238" spans="1:4" x14ac:dyDescent="0.35">
      <c r="A238" s="1"/>
      <c r="B238" s="1"/>
      <c r="C238" s="3"/>
      <c r="D238" s="3"/>
    </row>
    <row r="239" spans="1:4" x14ac:dyDescent="0.35">
      <c r="A239" s="1"/>
      <c r="B239" s="1"/>
      <c r="C239" s="3"/>
      <c r="D239" s="3"/>
    </row>
    <row r="240" spans="1:4" x14ac:dyDescent="0.35">
      <c r="A240" s="1"/>
      <c r="B240" s="1"/>
      <c r="C240" s="3"/>
      <c r="D240" s="3"/>
    </row>
    <row r="241" spans="1:4" x14ac:dyDescent="0.35">
      <c r="A241" s="1"/>
      <c r="B241" s="1"/>
      <c r="C241" s="3"/>
      <c r="D241" s="3"/>
    </row>
    <row r="242" spans="1:4" x14ac:dyDescent="0.35">
      <c r="A242" s="1"/>
      <c r="B242" s="1"/>
      <c r="C242" s="3"/>
      <c r="D242" s="3"/>
    </row>
    <row r="243" spans="1:4" x14ac:dyDescent="0.35">
      <c r="A243" s="1"/>
      <c r="B243" s="1"/>
      <c r="C243" s="3"/>
      <c r="D243" s="3"/>
    </row>
    <row r="244" spans="1:4" x14ac:dyDescent="0.35">
      <c r="A244" s="1"/>
      <c r="B244" s="1"/>
      <c r="C244" s="3"/>
      <c r="D244" s="3"/>
    </row>
    <row r="245" spans="1:4" x14ac:dyDescent="0.35">
      <c r="A245" s="1"/>
      <c r="B245" s="1"/>
      <c r="C245" s="3"/>
      <c r="D245" s="3"/>
    </row>
    <row r="246" spans="1:4" x14ac:dyDescent="0.35">
      <c r="A246" s="1"/>
      <c r="B246" s="1"/>
      <c r="C246" s="3"/>
      <c r="D246" s="3"/>
    </row>
    <row r="247" spans="1:4" x14ac:dyDescent="0.35">
      <c r="A247" s="1"/>
      <c r="B247" s="1"/>
      <c r="C247" s="3"/>
      <c r="D247" s="3"/>
    </row>
    <row r="248" spans="1:4" x14ac:dyDescent="0.35">
      <c r="A248" s="1"/>
      <c r="B248" s="1"/>
      <c r="C248" s="3"/>
      <c r="D248" s="3"/>
    </row>
    <row r="249" spans="1:4" x14ac:dyDescent="0.35">
      <c r="A249" s="1"/>
      <c r="B249" s="1"/>
      <c r="C249" s="3"/>
      <c r="D249" s="3"/>
    </row>
    <row r="250" spans="1:4" x14ac:dyDescent="0.35">
      <c r="A250" s="1"/>
      <c r="B250" s="1"/>
      <c r="C250" s="3"/>
      <c r="D250" s="3"/>
    </row>
    <row r="251" spans="1:4" x14ac:dyDescent="0.35">
      <c r="A251" s="1"/>
      <c r="B251" s="1"/>
      <c r="C251" s="3"/>
      <c r="D251" s="3"/>
    </row>
    <row r="252" spans="1:4" x14ac:dyDescent="0.35">
      <c r="A252" s="1"/>
      <c r="B252" s="1"/>
      <c r="C252" s="3"/>
      <c r="D252" s="3"/>
    </row>
    <row r="253" spans="1:4" x14ac:dyDescent="0.35">
      <c r="A253" s="1"/>
      <c r="B253" s="1"/>
      <c r="C253" s="3"/>
      <c r="D253" s="3"/>
    </row>
    <row r="254" spans="1:4" x14ac:dyDescent="0.35">
      <c r="A254" s="1"/>
      <c r="B254" s="1"/>
      <c r="C254" s="3"/>
      <c r="D254" s="3"/>
    </row>
    <row r="255" spans="1:4" x14ac:dyDescent="0.35">
      <c r="A255" s="1"/>
      <c r="B255" s="1"/>
      <c r="C255" s="3"/>
      <c r="D255" s="3"/>
    </row>
    <row r="256" spans="1:4" x14ac:dyDescent="0.35">
      <c r="A256" s="1"/>
      <c r="B256" s="1"/>
      <c r="C256" s="3"/>
      <c r="D256" s="3"/>
    </row>
    <row r="257" spans="1:4" x14ac:dyDescent="0.35">
      <c r="A257" s="1"/>
      <c r="B257" s="1"/>
      <c r="C257" s="3"/>
      <c r="D257" s="3"/>
    </row>
    <row r="258" spans="1:4" x14ac:dyDescent="0.35">
      <c r="A258" s="1"/>
      <c r="B258" s="1"/>
      <c r="C258" s="3"/>
      <c r="D258" s="3"/>
    </row>
    <row r="259" spans="1:4" x14ac:dyDescent="0.35">
      <c r="A259" s="1"/>
      <c r="B259" s="1"/>
      <c r="C259" s="3"/>
      <c r="D259" s="3"/>
    </row>
    <row r="260" spans="1:4" x14ac:dyDescent="0.35">
      <c r="A260" s="1"/>
      <c r="B260" s="1"/>
      <c r="C260" s="3"/>
      <c r="D260" s="3"/>
    </row>
    <row r="261" spans="1:4" x14ac:dyDescent="0.35">
      <c r="A261" s="1"/>
      <c r="B261" s="1"/>
      <c r="C261" s="3"/>
      <c r="D261" s="3"/>
    </row>
    <row r="262" spans="1:4" x14ac:dyDescent="0.35">
      <c r="A262" s="1"/>
      <c r="B262" s="1"/>
      <c r="C262" s="3"/>
      <c r="D262" s="3"/>
    </row>
    <row r="263" spans="1:4" x14ac:dyDescent="0.35">
      <c r="A263" s="1"/>
      <c r="B263" s="1"/>
      <c r="C263" s="3"/>
      <c r="D263" s="3"/>
    </row>
    <row r="264" spans="1:4" x14ac:dyDescent="0.35">
      <c r="A264" s="1"/>
      <c r="B264" s="1"/>
      <c r="C264" s="3"/>
      <c r="D264" s="3"/>
    </row>
    <row r="265" spans="1:4" x14ac:dyDescent="0.35">
      <c r="A265" s="1"/>
      <c r="B265" s="1"/>
      <c r="C265" s="3"/>
      <c r="D265" s="3"/>
    </row>
    <row r="266" spans="1:4" x14ac:dyDescent="0.35">
      <c r="A266" s="1"/>
      <c r="B266" s="1"/>
      <c r="C266" s="3"/>
      <c r="D266" s="3"/>
    </row>
    <row r="267" spans="1:4" x14ac:dyDescent="0.35">
      <c r="A267" s="1"/>
      <c r="B267" s="1"/>
      <c r="C267" s="3"/>
      <c r="D267" s="3"/>
    </row>
    <row r="268" spans="1:4" x14ac:dyDescent="0.35">
      <c r="A268" s="1"/>
      <c r="B268" s="1"/>
      <c r="C268" s="3"/>
      <c r="D268" s="3"/>
    </row>
    <row r="269" spans="1:4" x14ac:dyDescent="0.35">
      <c r="A269" s="1"/>
      <c r="B269" s="1"/>
      <c r="C269" s="3"/>
      <c r="D269" s="3"/>
    </row>
    <row r="270" spans="1:4" x14ac:dyDescent="0.35">
      <c r="A270" s="1"/>
      <c r="B270" s="1"/>
      <c r="C270" s="3"/>
      <c r="D270" s="3"/>
    </row>
    <row r="271" spans="1:4" x14ac:dyDescent="0.35">
      <c r="A271" s="1"/>
      <c r="B271" s="1"/>
      <c r="C271" s="3"/>
      <c r="D271" s="3"/>
    </row>
    <row r="272" spans="1:4" x14ac:dyDescent="0.35">
      <c r="A272" s="1"/>
      <c r="B272" s="1"/>
      <c r="C272" s="3"/>
      <c r="D272" s="3"/>
    </row>
    <row r="273" spans="1:4" x14ac:dyDescent="0.35">
      <c r="A273" s="1"/>
      <c r="B273" s="1"/>
      <c r="C273" s="3"/>
      <c r="D273" s="3"/>
    </row>
    <row r="274" spans="1:4" x14ac:dyDescent="0.35">
      <c r="A274" s="1"/>
      <c r="B274" s="1"/>
      <c r="C274" s="3"/>
      <c r="D274" s="3"/>
    </row>
    <row r="275" spans="1:4" x14ac:dyDescent="0.35">
      <c r="A275" s="1"/>
      <c r="B275" s="1"/>
      <c r="C275" s="3"/>
      <c r="D275" s="3"/>
    </row>
    <row r="276" spans="1:4" x14ac:dyDescent="0.35">
      <c r="A276" s="1"/>
      <c r="B276" s="1"/>
      <c r="C276" s="3"/>
      <c r="D276" s="3"/>
    </row>
    <row r="277" spans="1:4" x14ac:dyDescent="0.35">
      <c r="A277" s="1"/>
      <c r="B277" s="1"/>
      <c r="C277" s="3"/>
      <c r="D277" s="3"/>
    </row>
    <row r="278" spans="1:4" x14ac:dyDescent="0.35">
      <c r="A278" s="1"/>
      <c r="B278" s="1"/>
      <c r="C278" s="3"/>
      <c r="D278" s="3"/>
    </row>
    <row r="279" spans="1:4" x14ac:dyDescent="0.35">
      <c r="A279" s="1"/>
      <c r="B279" s="1"/>
      <c r="C279" s="3"/>
      <c r="D279" s="3"/>
    </row>
    <row r="280" spans="1:4" x14ac:dyDescent="0.35">
      <c r="A280" s="1"/>
      <c r="B280" s="1"/>
      <c r="C280" s="3"/>
      <c r="D280" s="3"/>
    </row>
    <row r="281" spans="1:4" x14ac:dyDescent="0.35">
      <c r="A281" s="1"/>
      <c r="B281" s="1"/>
      <c r="C281" s="3"/>
      <c r="D281" s="3"/>
    </row>
    <row r="282" spans="1:4" x14ac:dyDescent="0.35">
      <c r="A282" s="1"/>
      <c r="B282" s="1"/>
      <c r="C282" s="3"/>
      <c r="D282" s="3"/>
    </row>
    <row r="283" spans="1:4" x14ac:dyDescent="0.35">
      <c r="A283" s="1"/>
      <c r="B283" s="1"/>
      <c r="C283" s="3"/>
      <c r="D283" s="3"/>
    </row>
    <row r="284" spans="1:4" x14ac:dyDescent="0.35">
      <c r="A284" s="1"/>
      <c r="B284" s="1"/>
      <c r="C284" s="3"/>
      <c r="D284" s="3"/>
    </row>
    <row r="285" spans="1:4" x14ac:dyDescent="0.35">
      <c r="A285" s="1"/>
      <c r="B285" s="1"/>
      <c r="C285" s="3"/>
      <c r="D285" s="3"/>
    </row>
    <row r="286" spans="1:4" x14ac:dyDescent="0.35">
      <c r="A286" s="1"/>
      <c r="B286" s="1"/>
      <c r="C286" s="3"/>
      <c r="D286" s="3"/>
    </row>
    <row r="287" spans="1:4" x14ac:dyDescent="0.35">
      <c r="A287" s="1"/>
      <c r="B287" s="1"/>
      <c r="C287" s="3"/>
      <c r="D287" s="3"/>
    </row>
    <row r="288" spans="1:4" x14ac:dyDescent="0.35">
      <c r="A288" s="1"/>
      <c r="B288" s="1"/>
      <c r="C288" s="3"/>
      <c r="D288" s="3"/>
    </row>
    <row r="289" spans="1:4" x14ac:dyDescent="0.35">
      <c r="A289" s="1"/>
      <c r="B289" s="1"/>
      <c r="C289" s="3"/>
      <c r="D289" s="3"/>
    </row>
    <row r="290" spans="1:4" x14ac:dyDescent="0.35">
      <c r="A290" s="1"/>
      <c r="B290" s="1"/>
      <c r="C290" s="3"/>
      <c r="D290" s="3"/>
    </row>
    <row r="291" spans="1:4" x14ac:dyDescent="0.35">
      <c r="A291" s="1"/>
      <c r="B291" s="1"/>
      <c r="C291" s="3"/>
      <c r="D291" s="3"/>
    </row>
    <row r="292" spans="1:4" x14ac:dyDescent="0.35">
      <c r="A292" s="1"/>
      <c r="B292" s="1"/>
      <c r="C292" s="3"/>
      <c r="D292" s="3"/>
    </row>
    <row r="293" spans="1:4" x14ac:dyDescent="0.35">
      <c r="A293" s="1"/>
      <c r="B293" s="1"/>
      <c r="C293" s="3"/>
      <c r="D293" s="3"/>
    </row>
    <row r="294" spans="1:4" x14ac:dyDescent="0.35">
      <c r="A294" s="1"/>
      <c r="B294" s="1"/>
      <c r="C294" s="3"/>
      <c r="D294" s="3"/>
    </row>
    <row r="295" spans="1:4" x14ac:dyDescent="0.35">
      <c r="A295" s="1"/>
      <c r="B295" s="1"/>
      <c r="C295" s="3"/>
      <c r="D295" s="3"/>
    </row>
    <row r="296" spans="1:4" x14ac:dyDescent="0.35">
      <c r="A296" s="1"/>
      <c r="B296" s="1"/>
      <c r="C296" s="3"/>
      <c r="D296" s="3"/>
    </row>
    <row r="297" spans="1:4" x14ac:dyDescent="0.35">
      <c r="A297" s="1"/>
      <c r="B297" s="1"/>
      <c r="C297" s="3"/>
      <c r="D297" s="3"/>
    </row>
    <row r="298" spans="1:4" x14ac:dyDescent="0.35">
      <c r="A298" s="1"/>
      <c r="B298" s="1"/>
      <c r="C298" s="3"/>
      <c r="D298" s="3"/>
    </row>
    <row r="299" spans="1:4" x14ac:dyDescent="0.35">
      <c r="A299" s="1"/>
      <c r="B299" s="1"/>
      <c r="C299" s="3"/>
      <c r="D299" s="3"/>
    </row>
    <row r="300" spans="1:4" x14ac:dyDescent="0.35">
      <c r="A300" s="1"/>
      <c r="B300" s="1"/>
      <c r="C300" s="3"/>
      <c r="D300" s="3"/>
    </row>
    <row r="301" spans="1:4" x14ac:dyDescent="0.35">
      <c r="A301" s="1"/>
      <c r="B301" s="1"/>
      <c r="C301" s="3"/>
      <c r="D301" s="3"/>
    </row>
    <row r="302" spans="1:4" x14ac:dyDescent="0.35">
      <c r="A302" s="1"/>
      <c r="B302" s="1"/>
      <c r="C302" s="3"/>
      <c r="D302" s="3"/>
    </row>
    <row r="303" spans="1:4" x14ac:dyDescent="0.35">
      <c r="A303" s="1"/>
      <c r="B303" s="1"/>
      <c r="C303" s="3"/>
      <c r="D303" s="3"/>
    </row>
    <row r="304" spans="1:4" x14ac:dyDescent="0.35">
      <c r="A304" s="1"/>
      <c r="B304" s="1"/>
      <c r="C304" s="3"/>
      <c r="D304" s="3"/>
    </row>
    <row r="305" spans="1:4" x14ac:dyDescent="0.35">
      <c r="A305" s="1"/>
      <c r="B305" s="1"/>
      <c r="C305" s="3"/>
      <c r="D305" s="3"/>
    </row>
    <row r="306" spans="1:4" x14ac:dyDescent="0.35">
      <c r="A306" s="1"/>
      <c r="B306" s="1"/>
      <c r="C306" s="3"/>
      <c r="D306" s="3"/>
    </row>
    <row r="307" spans="1:4" x14ac:dyDescent="0.35">
      <c r="A307" s="1"/>
      <c r="B307" s="1"/>
      <c r="C307" s="3"/>
      <c r="D307" s="3"/>
    </row>
    <row r="308" spans="1:4" x14ac:dyDescent="0.35">
      <c r="A308" s="1"/>
      <c r="B308" s="1"/>
      <c r="C308" s="3"/>
      <c r="D308" s="3"/>
    </row>
    <row r="309" spans="1:4" x14ac:dyDescent="0.35">
      <c r="A309" s="1"/>
      <c r="B309" s="1"/>
      <c r="C309" s="3"/>
      <c r="D309" s="3"/>
    </row>
    <row r="310" spans="1:4" x14ac:dyDescent="0.35">
      <c r="A310" s="1"/>
      <c r="B310" s="1"/>
      <c r="C310" s="3"/>
      <c r="D310" s="3"/>
    </row>
    <row r="311" spans="1:4" x14ac:dyDescent="0.35">
      <c r="A311" s="1"/>
      <c r="B311" s="1"/>
      <c r="C311" s="3"/>
      <c r="D311" s="3"/>
    </row>
    <row r="312" spans="1:4" x14ac:dyDescent="0.35">
      <c r="A312" s="1"/>
      <c r="B312" s="1"/>
      <c r="C312" s="3"/>
      <c r="D312" s="3"/>
    </row>
    <row r="313" spans="1:4" x14ac:dyDescent="0.35">
      <c r="A313" s="1"/>
      <c r="B313" s="1"/>
      <c r="C313" s="3"/>
      <c r="D313" s="3"/>
    </row>
    <row r="314" spans="1:4" x14ac:dyDescent="0.35">
      <c r="A314" s="1"/>
      <c r="B314" s="1"/>
      <c r="C314" s="3"/>
      <c r="D314" s="3"/>
    </row>
    <row r="315" spans="1:4" x14ac:dyDescent="0.35">
      <c r="A315" s="1"/>
      <c r="B315" s="1"/>
      <c r="C315" s="1"/>
      <c r="D315" s="1"/>
    </row>
  </sheetData>
  <autoFilter ref="A1:G1" xr:uid="{9D2B6AF1-A8CF-4B04-9A1D-709E83340077}">
    <sortState xmlns:xlrd2="http://schemas.microsoft.com/office/spreadsheetml/2017/richdata2" ref="A2:G12">
      <sortCondition ref="B1"/>
    </sortState>
  </autoFilter>
  <mergeCells count="14">
    <mergeCell ref="G80:G81"/>
    <mergeCell ref="A82:A83"/>
    <mergeCell ref="B82:B83"/>
    <mergeCell ref="C82:C83"/>
    <mergeCell ref="D82:D83"/>
    <mergeCell ref="E82:E83"/>
    <mergeCell ref="F82:F83"/>
    <mergeCell ref="G82:G83"/>
    <mergeCell ref="A80:A81"/>
    <mergeCell ref="B80:B81"/>
    <mergeCell ref="C80:C81"/>
    <mergeCell ref="D80:D81"/>
    <mergeCell ref="E80:E81"/>
    <mergeCell ref="F80:F81"/>
  </mergeCells>
  <phoneticPr fontId="40" type="noConversion"/>
  <pageMargins left="0.511811024" right="0.511811024" top="0.78740157499999996" bottom="0.78740157499999996" header="0.31496062000000002" footer="0.3149606200000000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24"/>
  <sheetViews>
    <sheetView zoomScale="95" zoomScaleNormal="95" workbookViewId="0">
      <pane ySplit="2" topLeftCell="A3" activePane="bottomLeft" state="frozen"/>
      <selection pane="bottomLeft" activeCell="A6" sqref="A6"/>
    </sheetView>
  </sheetViews>
  <sheetFormatPr defaultRowHeight="14.5" x14ac:dyDescent="0.35"/>
  <cols>
    <col min="1" max="1" width="9.81640625" style="2" bestFit="1" customWidth="1"/>
    <col min="2" max="2" width="36.81640625" style="78" bestFit="1" customWidth="1"/>
    <col min="3" max="3" width="35" style="78" customWidth="1"/>
    <col min="4" max="4" width="9.453125" style="76" bestFit="1" customWidth="1"/>
    <col min="5" max="5" width="13.81640625" style="76" bestFit="1" customWidth="1"/>
    <col min="6" max="6" width="18" style="76" customWidth="1"/>
    <col min="7" max="7" width="19" style="76" customWidth="1"/>
    <col min="8" max="8" width="15" style="76" bestFit="1" customWidth="1"/>
    <col min="9" max="14" width="9.1796875" style="76"/>
    <col min="15" max="16" width="14.1796875" style="76" bestFit="1" customWidth="1"/>
    <col min="17" max="17" width="9.1796875" style="76"/>
  </cols>
  <sheetData>
    <row r="1" spans="1:17" x14ac:dyDescent="0.35">
      <c r="A1" s="73" t="s">
        <v>459</v>
      </c>
      <c r="B1" s="152" t="s">
        <v>460</v>
      </c>
      <c r="C1" s="152" t="s">
        <v>1</v>
      </c>
      <c r="D1" s="73" t="s">
        <v>0</v>
      </c>
      <c r="E1" s="73" t="s">
        <v>461</v>
      </c>
      <c r="F1" s="73" t="s">
        <v>462</v>
      </c>
      <c r="G1" s="182" t="s">
        <v>637</v>
      </c>
      <c r="H1" s="73" t="s">
        <v>38</v>
      </c>
      <c r="I1" s="73" t="s">
        <v>98</v>
      </c>
      <c r="J1" s="73" t="s">
        <v>121</v>
      </c>
      <c r="K1" s="73" t="s">
        <v>125</v>
      </c>
      <c r="L1" s="73" t="s">
        <v>122</v>
      </c>
      <c r="M1" s="73" t="s">
        <v>123</v>
      </c>
      <c r="N1" s="73" t="s">
        <v>124</v>
      </c>
      <c r="O1" s="73" t="s">
        <v>126</v>
      </c>
      <c r="P1" s="73" t="s">
        <v>127</v>
      </c>
      <c r="Q1" s="73" t="s">
        <v>128</v>
      </c>
    </row>
    <row r="2" spans="1:17" x14ac:dyDescent="0.35">
      <c r="A2" s="140">
        <v>541</v>
      </c>
      <c r="B2" s="161" t="s">
        <v>360</v>
      </c>
      <c r="C2" s="161" t="s">
        <v>456</v>
      </c>
      <c r="D2" s="140">
        <v>351605</v>
      </c>
      <c r="E2" s="140">
        <v>25352243800</v>
      </c>
      <c r="F2" s="140" t="s">
        <v>361</v>
      </c>
      <c r="G2" s="162">
        <v>46204</v>
      </c>
      <c r="H2" s="140" t="s">
        <v>348</v>
      </c>
      <c r="I2" s="74"/>
      <c r="J2" s="74"/>
      <c r="K2" s="74" t="s">
        <v>151</v>
      </c>
      <c r="L2" s="74" t="s">
        <v>151</v>
      </c>
      <c r="M2" s="74"/>
      <c r="N2" s="74"/>
      <c r="O2" s="74"/>
      <c r="P2" s="74"/>
      <c r="Q2" s="74"/>
    </row>
    <row r="3" spans="1:17" x14ac:dyDescent="0.35">
      <c r="A3" s="156">
        <v>547</v>
      </c>
      <c r="B3" s="157" t="s">
        <v>618</v>
      </c>
      <c r="C3" s="158" t="s">
        <v>619</v>
      </c>
      <c r="D3" s="159">
        <v>717020</v>
      </c>
      <c r="E3" s="159">
        <v>70089456475</v>
      </c>
      <c r="F3" s="159">
        <v>3752759</v>
      </c>
      <c r="G3" s="160">
        <v>46248</v>
      </c>
      <c r="H3" s="159" t="s">
        <v>348</v>
      </c>
      <c r="I3" s="74"/>
      <c r="J3" s="74"/>
      <c r="K3" s="74"/>
      <c r="L3" s="74"/>
      <c r="M3" s="74"/>
      <c r="N3" s="74"/>
      <c r="O3" s="74"/>
      <c r="P3" s="74"/>
      <c r="Q3" s="74"/>
    </row>
    <row r="4" spans="1:17" x14ac:dyDescent="0.35">
      <c r="A4" s="156">
        <v>396</v>
      </c>
      <c r="B4" s="157" t="s">
        <v>632</v>
      </c>
      <c r="C4" s="157" t="s">
        <v>215</v>
      </c>
      <c r="D4" s="159">
        <v>710205</v>
      </c>
      <c r="E4" s="159" t="s">
        <v>620</v>
      </c>
      <c r="F4" s="159">
        <v>697620189</v>
      </c>
      <c r="G4" s="160">
        <v>46251</v>
      </c>
      <c r="H4" s="159" t="s">
        <v>348</v>
      </c>
      <c r="I4" s="74"/>
      <c r="J4" s="74"/>
      <c r="K4" s="74"/>
      <c r="L4" s="74"/>
      <c r="M4" s="74"/>
      <c r="N4" s="74"/>
      <c r="O4" s="74"/>
      <c r="P4" s="74"/>
      <c r="Q4" s="74"/>
    </row>
    <row r="5" spans="1:17" x14ac:dyDescent="0.35">
      <c r="A5" s="140">
        <v>15</v>
      </c>
      <c r="B5" s="161" t="s">
        <v>621</v>
      </c>
      <c r="C5" s="158" t="s">
        <v>622</v>
      </c>
      <c r="D5" s="159">
        <v>717020</v>
      </c>
      <c r="E5" s="140" t="s">
        <v>623</v>
      </c>
      <c r="F5" s="140">
        <v>2262659</v>
      </c>
      <c r="G5" s="160"/>
      <c r="H5" s="159" t="s">
        <v>348</v>
      </c>
      <c r="I5" s="74"/>
      <c r="J5" s="74"/>
      <c r="K5" s="74"/>
      <c r="L5" s="74"/>
      <c r="M5" s="74"/>
      <c r="N5" s="74"/>
      <c r="O5" s="74"/>
      <c r="P5" s="74"/>
      <c r="Q5" s="74"/>
    </row>
    <row r="6" spans="1:17" x14ac:dyDescent="0.35">
      <c r="A6" s="140">
        <v>25</v>
      </c>
      <c r="B6" s="161" t="s">
        <v>624</v>
      </c>
      <c r="C6" s="161" t="s">
        <v>622</v>
      </c>
      <c r="D6" s="159">
        <v>717020</v>
      </c>
      <c r="E6" s="159" t="s">
        <v>625</v>
      </c>
      <c r="F6" s="159">
        <v>3140099</v>
      </c>
      <c r="G6" s="160"/>
      <c r="H6" s="159" t="s">
        <v>348</v>
      </c>
      <c r="I6" s="74"/>
      <c r="J6" s="74"/>
      <c r="K6" s="74"/>
      <c r="L6" s="74"/>
      <c r="M6" s="74"/>
      <c r="N6" s="74"/>
      <c r="O6" s="74"/>
      <c r="P6" s="74"/>
      <c r="Q6" s="74"/>
    </row>
    <row r="7" spans="1:17" x14ac:dyDescent="0.35">
      <c r="A7" s="140">
        <v>548</v>
      </c>
      <c r="B7" s="161" t="s">
        <v>628</v>
      </c>
      <c r="C7" s="161" t="s">
        <v>622</v>
      </c>
      <c r="D7" s="140">
        <v>717020</v>
      </c>
      <c r="E7" s="140" t="s">
        <v>629</v>
      </c>
      <c r="F7" s="140">
        <v>1826380</v>
      </c>
      <c r="G7" s="162">
        <v>46251</v>
      </c>
      <c r="H7" s="140" t="s">
        <v>348</v>
      </c>
      <c r="I7" s="74"/>
      <c r="J7" s="74"/>
      <c r="K7" s="74"/>
      <c r="L7" s="74"/>
      <c r="M7" s="74"/>
      <c r="N7" s="74"/>
      <c r="O7" s="74"/>
      <c r="P7" s="74"/>
      <c r="Q7" s="74"/>
    </row>
    <row r="8" spans="1:17" x14ac:dyDescent="0.35">
      <c r="A8" s="140">
        <v>550</v>
      </c>
      <c r="B8" s="161" t="s">
        <v>635</v>
      </c>
      <c r="C8" s="161" t="s">
        <v>622</v>
      </c>
      <c r="D8" s="140">
        <v>717020</v>
      </c>
      <c r="E8" s="140" t="s">
        <v>636</v>
      </c>
      <c r="F8" s="140">
        <v>71147506418</v>
      </c>
      <c r="G8" s="162">
        <v>46259</v>
      </c>
      <c r="H8" s="140" t="s">
        <v>348</v>
      </c>
      <c r="I8" s="74"/>
      <c r="J8" s="74"/>
      <c r="K8" s="74"/>
      <c r="L8" s="74"/>
      <c r="M8" s="74"/>
      <c r="N8" s="74"/>
      <c r="O8" s="74"/>
      <c r="P8" s="74"/>
      <c r="Q8" s="74"/>
    </row>
    <row r="9" spans="1:17" x14ac:dyDescent="0.35">
      <c r="A9" s="140">
        <v>90</v>
      </c>
      <c r="B9" s="161" t="s">
        <v>593</v>
      </c>
      <c r="C9" s="161" t="s">
        <v>456</v>
      </c>
      <c r="D9" s="140">
        <v>351605</v>
      </c>
      <c r="E9" s="140">
        <v>8691368365</v>
      </c>
      <c r="F9" s="140" t="s">
        <v>594</v>
      </c>
      <c r="G9" s="162">
        <v>45779</v>
      </c>
      <c r="H9" s="159" t="s">
        <v>348</v>
      </c>
      <c r="I9" s="74"/>
      <c r="J9" s="74"/>
      <c r="K9" s="74"/>
      <c r="L9" s="74"/>
      <c r="M9" s="74"/>
      <c r="N9" s="74"/>
      <c r="O9" s="74"/>
      <c r="P9" s="74"/>
      <c r="Q9" s="74"/>
    </row>
    <row r="10" spans="1:17" x14ac:dyDescent="0.35">
      <c r="A10" s="140"/>
      <c r="B10" s="161"/>
      <c r="C10" s="158"/>
      <c r="D10" s="159"/>
      <c r="E10" s="140"/>
      <c r="F10" s="140"/>
      <c r="G10" s="162"/>
      <c r="H10" s="159"/>
      <c r="I10" s="74"/>
      <c r="J10" s="74"/>
      <c r="K10" s="74"/>
      <c r="L10" s="74"/>
      <c r="M10" s="74"/>
      <c r="N10" s="74"/>
      <c r="O10" s="74"/>
      <c r="P10" s="74"/>
      <c r="Q10" s="74"/>
    </row>
    <row r="11" spans="1:17" x14ac:dyDescent="0.35">
      <c r="A11" s="140"/>
      <c r="B11" s="161"/>
      <c r="C11" s="158"/>
      <c r="D11" s="159"/>
      <c r="E11" s="140"/>
      <c r="F11" s="140"/>
      <c r="G11" s="162"/>
      <c r="H11" s="159"/>
      <c r="I11" s="74"/>
      <c r="J11" s="74"/>
      <c r="K11" s="74"/>
      <c r="L11" s="74"/>
      <c r="M11" s="74"/>
      <c r="N11" s="74"/>
      <c r="O11" s="74"/>
      <c r="P11" s="74"/>
      <c r="Q11" s="74"/>
    </row>
    <row r="12" spans="1:17" x14ac:dyDescent="0.35">
      <c r="A12" s="140"/>
      <c r="B12" s="161"/>
      <c r="C12" s="158"/>
      <c r="D12" s="159"/>
      <c r="E12" s="140"/>
      <c r="F12" s="140"/>
      <c r="G12" s="162"/>
      <c r="H12" s="159"/>
      <c r="I12" s="74"/>
      <c r="J12" s="74"/>
      <c r="K12" s="74"/>
      <c r="L12" s="74"/>
      <c r="M12" s="74"/>
      <c r="N12" s="74"/>
      <c r="O12" s="74"/>
      <c r="P12" s="74"/>
      <c r="Q12" s="74"/>
    </row>
    <row r="13" spans="1:17" x14ac:dyDescent="0.35">
      <c r="A13" s="140"/>
      <c r="B13" s="161"/>
      <c r="C13" s="161"/>
      <c r="D13" s="159"/>
      <c r="E13" s="140"/>
      <c r="F13" s="140"/>
      <c r="G13" s="160"/>
      <c r="H13" s="159"/>
      <c r="I13" s="74"/>
      <c r="J13" s="74"/>
      <c r="K13" s="74"/>
      <c r="L13" s="74"/>
      <c r="M13" s="74"/>
      <c r="N13" s="74"/>
      <c r="O13" s="74"/>
      <c r="P13" s="74"/>
      <c r="Q13" s="74"/>
    </row>
    <row r="14" spans="1:17" x14ac:dyDescent="0.35">
      <c r="A14" s="140"/>
      <c r="B14" s="161"/>
      <c r="C14" s="161"/>
      <c r="D14" s="140"/>
      <c r="E14" s="140"/>
      <c r="F14" s="140"/>
      <c r="G14" s="160"/>
      <c r="H14" s="159"/>
      <c r="I14" s="74"/>
      <c r="J14" s="74"/>
      <c r="K14" s="74"/>
      <c r="L14" s="74"/>
      <c r="M14" s="74"/>
      <c r="N14" s="74"/>
      <c r="O14" s="74"/>
      <c r="P14" s="74"/>
      <c r="Q14" s="74"/>
    </row>
    <row r="15" spans="1:17" x14ac:dyDescent="0.35">
      <c r="A15" s="140"/>
      <c r="B15" s="161"/>
      <c r="C15" s="158"/>
      <c r="D15" s="159"/>
      <c r="E15" s="140"/>
      <c r="F15" s="140"/>
      <c r="G15" s="162"/>
      <c r="H15" s="159"/>
      <c r="I15" s="74"/>
      <c r="J15" s="74"/>
      <c r="K15" s="74"/>
      <c r="L15" s="74"/>
      <c r="M15" s="74"/>
      <c r="N15" s="74"/>
      <c r="O15" s="74"/>
      <c r="P15" s="74"/>
      <c r="Q15" s="74"/>
    </row>
    <row r="16" spans="1:17" x14ac:dyDescent="0.35">
      <c r="A16" s="140"/>
      <c r="B16" s="158"/>
      <c r="C16" s="158"/>
      <c r="D16" s="140"/>
      <c r="E16" s="140"/>
      <c r="F16" s="140"/>
      <c r="G16" s="162"/>
      <c r="H16" s="159"/>
      <c r="I16" s="74"/>
      <c r="J16" s="74"/>
      <c r="K16" s="74"/>
      <c r="L16" s="74"/>
      <c r="M16" s="74"/>
      <c r="N16" s="74"/>
      <c r="O16" s="74"/>
      <c r="P16" s="74"/>
      <c r="Q16" s="74"/>
    </row>
    <row r="17" spans="1:17" x14ac:dyDescent="0.35">
      <c r="A17" s="140"/>
      <c r="B17" s="158"/>
      <c r="C17" s="158"/>
      <c r="D17" s="140"/>
      <c r="E17" s="140"/>
      <c r="F17" s="140"/>
      <c r="G17" s="162"/>
      <c r="H17" s="159"/>
      <c r="I17" s="74"/>
      <c r="J17" s="74"/>
      <c r="K17" s="74"/>
      <c r="L17" s="74"/>
      <c r="M17" s="74"/>
      <c r="N17" s="74"/>
      <c r="O17" s="74"/>
      <c r="P17" s="74"/>
      <c r="Q17" s="74"/>
    </row>
    <row r="18" spans="1:17" x14ac:dyDescent="0.35">
      <c r="A18" s="140"/>
      <c r="B18" s="158"/>
      <c r="C18" s="158"/>
      <c r="D18" s="159"/>
      <c r="E18" s="140"/>
      <c r="F18" s="140"/>
      <c r="G18" s="162"/>
      <c r="H18" s="159"/>
      <c r="I18" s="74"/>
      <c r="J18" s="74"/>
      <c r="K18" s="74"/>
      <c r="L18" s="74"/>
      <c r="M18" s="74"/>
      <c r="N18" s="74"/>
      <c r="O18" s="74"/>
      <c r="P18" s="74"/>
      <c r="Q18" s="74"/>
    </row>
    <row r="19" spans="1:17" x14ac:dyDescent="0.35">
      <c r="A19" s="140"/>
      <c r="B19" s="161"/>
      <c r="C19" s="158"/>
      <c r="D19" s="159"/>
      <c r="E19" s="140"/>
      <c r="F19" s="140"/>
      <c r="G19" s="162"/>
      <c r="H19" s="159"/>
      <c r="I19" s="74"/>
      <c r="J19" s="74"/>
      <c r="K19" s="74"/>
      <c r="L19" s="74"/>
      <c r="M19" s="74"/>
      <c r="N19" s="74"/>
      <c r="O19" s="74"/>
      <c r="P19" s="74"/>
      <c r="Q19" s="74"/>
    </row>
    <row r="20" spans="1:17" x14ac:dyDescent="0.35">
      <c r="A20" s="156"/>
      <c r="B20" s="157"/>
      <c r="C20" s="158"/>
      <c r="D20" s="140"/>
      <c r="E20" s="159"/>
      <c r="F20" s="159"/>
      <c r="G20" s="160"/>
      <c r="H20" s="159"/>
      <c r="I20" s="74"/>
      <c r="J20" s="74"/>
      <c r="K20" s="74"/>
      <c r="L20" s="74"/>
      <c r="M20" s="74"/>
      <c r="N20" s="74"/>
      <c r="O20" s="74"/>
      <c r="P20" s="74"/>
      <c r="Q20" s="74"/>
    </row>
    <row r="21" spans="1:17" x14ac:dyDescent="0.35">
      <c r="A21" s="140"/>
      <c r="B21" s="158"/>
      <c r="C21" s="158"/>
      <c r="D21" s="159"/>
      <c r="E21" s="140"/>
      <c r="F21" s="140"/>
      <c r="G21" s="162"/>
      <c r="H21" s="159"/>
      <c r="I21" s="74"/>
      <c r="J21" s="74"/>
      <c r="K21" s="74"/>
      <c r="L21" s="74"/>
      <c r="M21" s="74"/>
      <c r="N21" s="74"/>
      <c r="O21" s="74"/>
      <c r="P21" s="74"/>
      <c r="Q21" s="74"/>
    </row>
    <row r="22" spans="1:17" x14ac:dyDescent="0.35">
      <c r="A22" s="140"/>
      <c r="B22" s="158"/>
      <c r="C22" s="161"/>
      <c r="D22" s="140"/>
      <c r="E22" s="140"/>
      <c r="F22" s="140"/>
      <c r="G22" s="162"/>
      <c r="H22" s="159"/>
      <c r="I22" s="74"/>
      <c r="J22" s="74"/>
      <c r="K22" s="74"/>
      <c r="L22" s="74"/>
      <c r="M22" s="74"/>
      <c r="N22" s="74"/>
      <c r="O22" s="74"/>
      <c r="P22" s="74"/>
      <c r="Q22" s="74"/>
    </row>
    <row r="23" spans="1:17" x14ac:dyDescent="0.35">
      <c r="A23" s="140"/>
      <c r="B23" s="161"/>
      <c r="C23" s="158"/>
      <c r="D23" s="159"/>
      <c r="E23" s="140"/>
      <c r="F23" s="140"/>
      <c r="G23" s="162"/>
      <c r="H23" s="159"/>
      <c r="I23" s="74"/>
      <c r="J23" s="74"/>
      <c r="K23" s="74"/>
      <c r="L23" s="74"/>
      <c r="M23" s="74"/>
      <c r="N23" s="74"/>
      <c r="O23" s="74"/>
      <c r="P23" s="74"/>
      <c r="Q23" s="74"/>
    </row>
    <row r="24" spans="1:17" x14ac:dyDescent="0.35">
      <c r="A24" s="140"/>
      <c r="B24" s="158"/>
      <c r="C24" s="161"/>
      <c r="D24" s="140"/>
      <c r="E24" s="140"/>
      <c r="F24" s="140"/>
      <c r="G24" s="162"/>
      <c r="H24" s="159"/>
      <c r="I24" s="74"/>
      <c r="J24" s="74"/>
      <c r="K24" s="74"/>
      <c r="L24" s="74"/>
      <c r="M24" s="74"/>
      <c r="N24" s="74"/>
      <c r="O24" s="74"/>
      <c r="P24" s="74"/>
      <c r="Q24" s="74"/>
    </row>
    <row r="25" spans="1:17" x14ac:dyDescent="0.35">
      <c r="A25" s="156"/>
      <c r="B25" s="157"/>
      <c r="C25" s="161"/>
      <c r="D25" s="140"/>
      <c r="E25" s="159"/>
      <c r="F25" s="159"/>
      <c r="G25" s="160"/>
      <c r="H25" s="159"/>
      <c r="I25" s="74"/>
      <c r="J25" s="74"/>
      <c r="K25" s="74"/>
      <c r="L25" s="74"/>
      <c r="M25" s="74"/>
      <c r="N25" s="74"/>
      <c r="O25" s="74"/>
      <c r="P25" s="74"/>
      <c r="Q25" s="74"/>
    </row>
    <row r="26" spans="1:17" x14ac:dyDescent="0.35">
      <c r="A26" s="163"/>
      <c r="B26" s="158"/>
      <c r="C26" s="158"/>
      <c r="D26" s="159"/>
      <c r="E26" s="159"/>
      <c r="F26" s="159"/>
      <c r="G26" s="160"/>
      <c r="H26" s="159"/>
      <c r="I26" s="74"/>
      <c r="J26" s="74"/>
      <c r="K26" s="74"/>
      <c r="L26" s="74"/>
      <c r="M26" s="74"/>
      <c r="N26" s="74"/>
      <c r="O26" s="74"/>
      <c r="P26" s="74"/>
      <c r="Q26" s="74"/>
    </row>
    <row r="27" spans="1:17" x14ac:dyDescent="0.35">
      <c r="A27" s="156"/>
      <c r="B27" s="157"/>
      <c r="C27" s="158"/>
      <c r="D27" s="159"/>
      <c r="E27" s="159"/>
      <c r="F27" s="159"/>
      <c r="G27" s="160"/>
      <c r="H27" s="140"/>
      <c r="I27" s="74"/>
      <c r="J27" s="74"/>
      <c r="K27" s="74"/>
      <c r="L27" s="74"/>
      <c r="M27" s="74"/>
      <c r="N27" s="74"/>
      <c r="O27" s="74"/>
      <c r="P27" s="74"/>
      <c r="Q27" s="74"/>
    </row>
    <row r="28" spans="1:17" x14ac:dyDescent="0.35">
      <c r="A28" s="140"/>
      <c r="B28" s="158"/>
      <c r="C28" s="161"/>
      <c r="D28" s="140"/>
      <c r="E28" s="140"/>
      <c r="F28" s="140"/>
      <c r="G28" s="162"/>
      <c r="H28" s="159"/>
      <c r="I28" s="74"/>
      <c r="J28" s="74"/>
      <c r="K28" s="74"/>
      <c r="L28" s="74"/>
      <c r="M28" s="74"/>
      <c r="N28" s="74"/>
      <c r="O28" s="74"/>
      <c r="P28" s="74"/>
      <c r="Q28" s="74"/>
    </row>
    <row r="29" spans="1:17" x14ac:dyDescent="0.35">
      <c r="A29" s="156"/>
      <c r="B29" s="157"/>
      <c r="C29" s="161"/>
      <c r="D29" s="140"/>
      <c r="E29" s="159"/>
      <c r="F29" s="159"/>
      <c r="G29" s="160"/>
      <c r="H29" s="159"/>
      <c r="I29" s="74"/>
      <c r="J29" s="74"/>
      <c r="K29" s="74"/>
      <c r="L29" s="74"/>
      <c r="M29" s="74"/>
      <c r="N29" s="74"/>
      <c r="O29" s="74"/>
      <c r="P29" s="74"/>
      <c r="Q29" s="74"/>
    </row>
    <row r="30" spans="1:17" x14ac:dyDescent="0.35">
      <c r="A30" s="163"/>
      <c r="B30" s="158"/>
      <c r="C30" s="158"/>
      <c r="D30" s="159"/>
      <c r="E30" s="159"/>
      <c r="F30" s="159"/>
      <c r="G30" s="160"/>
      <c r="H30" s="159"/>
      <c r="I30" s="74"/>
      <c r="J30" s="74"/>
      <c r="K30" s="74"/>
      <c r="L30" s="74"/>
      <c r="M30" s="74"/>
      <c r="N30" s="74"/>
      <c r="O30" s="74"/>
      <c r="P30" s="74"/>
      <c r="Q30" s="74"/>
    </row>
    <row r="31" spans="1:17" x14ac:dyDescent="0.35">
      <c r="A31" s="156"/>
      <c r="B31" s="157"/>
      <c r="C31" s="158"/>
      <c r="D31" s="159"/>
      <c r="E31" s="159"/>
      <c r="F31" s="159"/>
      <c r="G31" s="160"/>
      <c r="H31" s="159"/>
      <c r="I31" s="74"/>
      <c r="J31" s="74"/>
      <c r="K31" s="74"/>
      <c r="L31" s="74"/>
      <c r="M31" s="74"/>
      <c r="N31" s="74"/>
      <c r="O31" s="74"/>
      <c r="P31" s="74"/>
      <c r="Q31" s="74"/>
    </row>
    <row r="32" spans="1:17" x14ac:dyDescent="0.35">
      <c r="A32" s="156"/>
      <c r="B32" s="157"/>
      <c r="C32" s="157"/>
      <c r="D32" s="159"/>
      <c r="E32" s="159"/>
      <c r="F32" s="159"/>
      <c r="G32" s="160"/>
      <c r="H32" s="159"/>
      <c r="I32" s="74"/>
      <c r="J32" s="74"/>
      <c r="K32" s="74"/>
      <c r="L32" s="74"/>
      <c r="M32" s="74"/>
      <c r="N32" s="74"/>
      <c r="O32" s="74"/>
      <c r="P32" s="74"/>
      <c r="Q32" s="74"/>
    </row>
    <row r="33" spans="1:17" x14ac:dyDescent="0.35">
      <c r="A33" s="156"/>
      <c r="B33" s="157"/>
      <c r="C33" s="166"/>
      <c r="D33" s="159"/>
      <c r="E33" s="159"/>
      <c r="F33" s="159"/>
      <c r="G33" s="160"/>
      <c r="H33" s="159"/>
      <c r="I33" s="74"/>
      <c r="J33" s="74"/>
      <c r="K33" s="74"/>
      <c r="L33" s="74"/>
      <c r="M33" s="74"/>
      <c r="N33" s="74"/>
      <c r="O33" s="74"/>
      <c r="P33" s="74"/>
      <c r="Q33" s="74"/>
    </row>
    <row r="34" spans="1:17" x14ac:dyDescent="0.35">
      <c r="A34" s="156"/>
      <c r="B34" s="157"/>
      <c r="C34" s="158"/>
      <c r="D34" s="159"/>
      <c r="E34" s="159"/>
      <c r="F34" s="159"/>
      <c r="G34" s="160"/>
      <c r="H34" s="159"/>
      <c r="I34" s="74"/>
      <c r="J34" s="74"/>
      <c r="K34" s="74"/>
      <c r="L34" s="74"/>
      <c r="M34" s="74"/>
      <c r="N34" s="74"/>
      <c r="O34" s="74"/>
      <c r="P34" s="74"/>
      <c r="Q34" s="74"/>
    </row>
    <row r="35" spans="1:17" x14ac:dyDescent="0.35">
      <c r="A35" s="156"/>
      <c r="B35" s="157"/>
      <c r="C35" s="157"/>
      <c r="D35" s="159"/>
      <c r="E35" s="159"/>
      <c r="F35" s="159"/>
      <c r="G35" s="160"/>
      <c r="H35" s="159"/>
      <c r="I35" s="74"/>
      <c r="J35" s="74"/>
      <c r="K35" s="74"/>
      <c r="L35" s="74"/>
      <c r="M35" s="74"/>
      <c r="N35" s="74"/>
      <c r="O35" s="74"/>
      <c r="P35" s="74"/>
      <c r="Q35" s="74"/>
    </row>
    <row r="36" spans="1:17" x14ac:dyDescent="0.35">
      <c r="A36" s="156"/>
      <c r="B36" s="157"/>
      <c r="C36" s="158"/>
      <c r="D36" s="159"/>
      <c r="E36" s="159"/>
      <c r="F36" s="159"/>
      <c r="G36" s="160"/>
      <c r="H36" s="159"/>
      <c r="I36" s="74"/>
      <c r="J36" s="74"/>
      <c r="K36" s="74"/>
      <c r="L36" s="74"/>
      <c r="M36" s="74"/>
      <c r="N36" s="74"/>
      <c r="O36" s="74"/>
      <c r="P36" s="74"/>
      <c r="Q36" s="74"/>
    </row>
    <row r="37" spans="1:17" x14ac:dyDescent="0.35">
      <c r="A37" s="156"/>
      <c r="B37" s="157"/>
      <c r="C37" s="157"/>
      <c r="D37" s="159"/>
      <c r="E37" s="159"/>
      <c r="F37" s="159"/>
      <c r="G37" s="160"/>
      <c r="H37" s="159"/>
      <c r="I37" s="74"/>
      <c r="J37" s="74"/>
      <c r="K37" s="74"/>
      <c r="L37" s="74"/>
      <c r="M37" s="74"/>
      <c r="N37" s="74"/>
      <c r="O37" s="74"/>
      <c r="P37" s="74"/>
      <c r="Q37" s="74"/>
    </row>
    <row r="38" spans="1:17" x14ac:dyDescent="0.35">
      <c r="A38" s="156"/>
      <c r="B38" s="157"/>
      <c r="C38" s="157"/>
      <c r="D38" s="159"/>
      <c r="E38" s="159"/>
      <c r="F38" s="159"/>
      <c r="G38" s="160"/>
      <c r="H38" s="159"/>
      <c r="I38" s="74"/>
      <c r="J38" s="74"/>
      <c r="K38" s="74"/>
      <c r="L38" s="74"/>
      <c r="M38" s="74"/>
      <c r="N38" s="74"/>
      <c r="O38" s="74"/>
      <c r="P38" s="74"/>
      <c r="Q38" s="74"/>
    </row>
    <row r="39" spans="1:17" x14ac:dyDescent="0.35">
      <c r="A39" s="164"/>
      <c r="B39" s="165"/>
      <c r="C39" s="165"/>
      <c r="D39" s="140"/>
      <c r="E39" s="140"/>
      <c r="F39" s="140"/>
      <c r="G39" s="162"/>
      <c r="H39" s="140"/>
      <c r="I39" s="74"/>
      <c r="J39" s="74"/>
      <c r="K39" s="74"/>
      <c r="L39" s="74"/>
      <c r="M39" s="74"/>
      <c r="N39" s="74"/>
      <c r="O39" s="74"/>
      <c r="P39" s="74"/>
      <c r="Q39" s="74"/>
    </row>
    <row r="40" spans="1:17" x14ac:dyDescent="0.35">
      <c r="A40" s="164"/>
      <c r="B40" s="165"/>
      <c r="C40" s="165"/>
      <c r="D40" s="140"/>
      <c r="E40" s="140"/>
      <c r="F40" s="140"/>
      <c r="G40" s="162"/>
      <c r="H40" s="140"/>
      <c r="I40" s="74"/>
      <c r="J40" s="74"/>
      <c r="K40" s="74"/>
      <c r="L40" s="74"/>
      <c r="M40" s="74"/>
      <c r="N40" s="74"/>
      <c r="O40" s="74"/>
      <c r="P40" s="74"/>
      <c r="Q40" s="74"/>
    </row>
    <row r="41" spans="1:17" x14ac:dyDescent="0.35">
      <c r="A41" s="164"/>
      <c r="B41" s="165"/>
      <c r="C41" s="165"/>
      <c r="D41" s="140"/>
      <c r="E41" s="140"/>
      <c r="F41" s="140"/>
      <c r="G41" s="162"/>
      <c r="H41" s="140"/>
      <c r="I41" s="74"/>
      <c r="J41" s="74"/>
      <c r="K41" s="74"/>
      <c r="L41" s="74"/>
      <c r="M41" s="74"/>
      <c r="N41" s="74"/>
      <c r="O41" s="74"/>
      <c r="P41" s="74"/>
      <c r="Q41" s="74"/>
    </row>
    <row r="42" spans="1:17" x14ac:dyDescent="0.35">
      <c r="A42" s="164"/>
      <c r="B42" s="165"/>
      <c r="C42" s="165"/>
      <c r="D42" s="140"/>
      <c r="E42" s="140"/>
      <c r="F42" s="140"/>
      <c r="G42" s="162"/>
      <c r="H42" s="140"/>
      <c r="I42" s="74"/>
      <c r="J42" s="74"/>
      <c r="K42" s="74"/>
      <c r="L42" s="74"/>
      <c r="M42" s="74"/>
      <c r="N42" s="74"/>
      <c r="O42" s="74"/>
      <c r="P42" s="74"/>
      <c r="Q42" s="74"/>
    </row>
    <row r="43" spans="1:17" x14ac:dyDescent="0.35">
      <c r="A43" s="164"/>
      <c r="B43" s="165"/>
      <c r="C43" s="165"/>
      <c r="D43" s="140"/>
      <c r="E43" s="140"/>
      <c r="F43" s="140"/>
      <c r="G43" s="162"/>
      <c r="H43" s="140"/>
      <c r="I43" s="74"/>
      <c r="J43" s="74"/>
      <c r="K43" s="74"/>
      <c r="L43" s="74"/>
      <c r="M43" s="74"/>
      <c r="N43" s="74"/>
      <c r="O43" s="74"/>
      <c r="P43" s="74"/>
      <c r="Q43" s="74"/>
    </row>
    <row r="44" spans="1:17" x14ac:dyDescent="0.35">
      <c r="A44" s="156"/>
      <c r="B44" s="157"/>
      <c r="C44" s="158"/>
      <c r="D44" s="159"/>
      <c r="E44" s="159"/>
      <c r="F44" s="159"/>
      <c r="G44" s="160"/>
      <c r="H44" s="159"/>
      <c r="I44" s="74"/>
      <c r="J44" s="74"/>
      <c r="K44" s="74"/>
      <c r="L44" s="74"/>
      <c r="M44" s="74"/>
      <c r="N44" s="74"/>
      <c r="O44" s="74"/>
      <c r="P44" s="74"/>
      <c r="Q44" s="74"/>
    </row>
    <row r="45" spans="1:17" x14ac:dyDescent="0.35">
      <c r="A45" s="156"/>
      <c r="B45" s="157"/>
      <c r="C45" s="157"/>
      <c r="D45" s="159"/>
      <c r="E45" s="159"/>
      <c r="F45" s="159"/>
      <c r="G45" s="160"/>
      <c r="H45" s="159"/>
      <c r="I45" s="74"/>
      <c r="J45" s="74"/>
      <c r="K45" s="74"/>
      <c r="L45" s="74"/>
      <c r="M45" s="74"/>
      <c r="N45" s="74"/>
      <c r="O45" s="74"/>
      <c r="P45" s="74"/>
      <c r="Q45" s="74"/>
    </row>
    <row r="46" spans="1:17" x14ac:dyDescent="0.35">
      <c r="A46" s="140"/>
      <c r="B46" s="161"/>
      <c r="C46" s="158"/>
      <c r="D46" s="159"/>
      <c r="E46" s="140"/>
      <c r="F46" s="140"/>
      <c r="G46" s="160"/>
      <c r="H46" s="159"/>
      <c r="I46" s="74"/>
      <c r="J46" s="74"/>
      <c r="K46" s="74"/>
      <c r="L46" s="74"/>
      <c r="M46" s="74"/>
      <c r="N46" s="74"/>
      <c r="O46" s="74"/>
      <c r="P46" s="74"/>
      <c r="Q46" s="74"/>
    </row>
    <row r="47" spans="1:17" x14ac:dyDescent="0.35">
      <c r="A47" s="140"/>
      <c r="B47" s="161"/>
      <c r="C47" s="158"/>
      <c r="D47" s="159"/>
      <c r="E47" s="140"/>
      <c r="F47" s="140"/>
      <c r="G47" s="160"/>
      <c r="H47" s="159"/>
      <c r="I47" s="74"/>
      <c r="J47" s="74"/>
      <c r="K47" s="74"/>
      <c r="L47" s="74"/>
      <c r="M47" s="74"/>
      <c r="N47" s="74"/>
      <c r="O47" s="74"/>
      <c r="P47" s="74"/>
      <c r="Q47" s="74"/>
    </row>
    <row r="48" spans="1:17" x14ac:dyDescent="0.35">
      <c r="A48" s="140"/>
      <c r="B48" s="161"/>
      <c r="C48" s="158"/>
      <c r="D48" s="159"/>
      <c r="E48" s="140"/>
      <c r="F48" s="140"/>
      <c r="G48" s="160"/>
      <c r="H48" s="159"/>
      <c r="I48" s="74"/>
      <c r="J48" s="74"/>
      <c r="K48" s="74"/>
      <c r="L48" s="74"/>
      <c r="M48" s="74"/>
      <c r="N48" s="74"/>
      <c r="O48" s="74"/>
      <c r="P48" s="74"/>
      <c r="Q48" s="74"/>
    </row>
    <row r="49" spans="1:17" x14ac:dyDescent="0.35">
      <c r="A49" s="140"/>
      <c r="B49" s="161"/>
      <c r="C49" s="158"/>
      <c r="D49" s="159"/>
      <c r="E49" s="140"/>
      <c r="F49" s="140"/>
      <c r="G49" s="160"/>
      <c r="H49" s="159"/>
      <c r="I49" s="74"/>
      <c r="J49" s="74"/>
      <c r="K49" s="74"/>
      <c r="L49" s="74"/>
      <c r="M49" s="74"/>
      <c r="N49" s="74"/>
      <c r="O49" s="74"/>
      <c r="P49" s="74"/>
      <c r="Q49" s="74"/>
    </row>
    <row r="50" spans="1:17" x14ac:dyDescent="0.35">
      <c r="A50" s="127"/>
      <c r="B50" s="70"/>
      <c r="C50" s="70"/>
      <c r="D50" s="74"/>
      <c r="E50" s="74"/>
      <c r="F50" s="74"/>
      <c r="G50" s="75"/>
      <c r="H50" s="74"/>
      <c r="I50" s="74"/>
      <c r="J50" s="74"/>
      <c r="K50" s="74"/>
      <c r="L50" s="74"/>
      <c r="M50" s="74"/>
      <c r="N50" s="74"/>
      <c r="O50" s="74"/>
      <c r="P50" s="74"/>
      <c r="Q50" s="74"/>
    </row>
    <row r="51" spans="1:17" x14ac:dyDescent="0.35">
      <c r="A51" s="156"/>
      <c r="B51" s="157"/>
      <c r="C51" s="157"/>
      <c r="D51" s="159"/>
      <c r="E51" s="159"/>
      <c r="F51" s="159"/>
      <c r="G51" s="160"/>
      <c r="H51" s="159"/>
      <c r="I51" s="74"/>
      <c r="J51" s="74"/>
      <c r="K51" s="74"/>
      <c r="L51" s="74"/>
      <c r="M51" s="74"/>
      <c r="N51" s="74"/>
      <c r="O51" s="74"/>
      <c r="P51" s="74"/>
      <c r="Q51" s="74"/>
    </row>
    <row r="52" spans="1:17" x14ac:dyDescent="0.35">
      <c r="A52" s="140"/>
      <c r="B52" s="161"/>
      <c r="C52" s="161"/>
      <c r="D52" s="159"/>
      <c r="E52" s="140"/>
      <c r="F52" s="140"/>
      <c r="G52" s="162"/>
      <c r="H52" s="159"/>
      <c r="I52" s="74"/>
      <c r="J52" s="74"/>
      <c r="K52" s="74"/>
      <c r="L52" s="74"/>
      <c r="M52" s="74"/>
      <c r="N52" s="74"/>
      <c r="O52" s="74"/>
      <c r="P52" s="74"/>
      <c r="Q52" s="74"/>
    </row>
    <row r="53" spans="1:17" x14ac:dyDescent="0.35">
      <c r="A53" s="140"/>
      <c r="B53" s="158"/>
      <c r="C53" s="158"/>
      <c r="D53" s="140"/>
      <c r="E53" s="140"/>
      <c r="F53" s="140"/>
      <c r="G53" s="162"/>
      <c r="H53" s="159"/>
      <c r="I53" s="74"/>
      <c r="J53" s="74"/>
      <c r="K53" s="74"/>
      <c r="L53" s="74"/>
      <c r="M53" s="74"/>
      <c r="N53" s="74"/>
      <c r="O53" s="74"/>
      <c r="P53" s="74"/>
      <c r="Q53" s="74"/>
    </row>
    <row r="54" spans="1:17" x14ac:dyDescent="0.35">
      <c r="A54" s="170"/>
      <c r="B54" s="171"/>
      <c r="C54" s="158"/>
      <c r="D54" s="159"/>
      <c r="E54" s="159"/>
      <c r="F54" s="159"/>
      <c r="G54" s="160"/>
      <c r="H54" s="159"/>
      <c r="I54" s="74"/>
      <c r="J54" s="74"/>
      <c r="K54" s="74"/>
      <c r="L54" s="74"/>
      <c r="M54" s="74"/>
      <c r="N54" s="74"/>
      <c r="O54" s="74"/>
      <c r="P54" s="74"/>
      <c r="Q54" s="74"/>
    </row>
    <row r="55" spans="1:17" x14ac:dyDescent="0.35">
      <c r="A55" s="156"/>
      <c r="B55" s="157"/>
      <c r="C55" s="157"/>
      <c r="D55" s="159"/>
      <c r="E55" s="159"/>
      <c r="F55" s="159"/>
      <c r="G55" s="159"/>
      <c r="H55" s="159"/>
      <c r="I55" s="74"/>
      <c r="J55" s="74"/>
      <c r="K55" s="74"/>
      <c r="L55" s="74"/>
      <c r="M55" s="74"/>
      <c r="N55" s="74"/>
      <c r="O55" s="74"/>
      <c r="P55" s="74"/>
      <c r="Q55" s="74"/>
    </row>
    <row r="56" spans="1:17" x14ac:dyDescent="0.35">
      <c r="A56" s="156"/>
      <c r="B56" s="157"/>
      <c r="C56" s="158"/>
      <c r="D56" s="159"/>
      <c r="E56" s="159"/>
      <c r="F56" s="159"/>
      <c r="G56" s="160"/>
      <c r="H56" s="159"/>
      <c r="I56" s="74"/>
      <c r="J56" s="74"/>
      <c r="K56" s="74"/>
      <c r="L56" s="74"/>
      <c r="M56" s="74"/>
      <c r="N56" s="74"/>
      <c r="O56" s="74"/>
      <c r="P56" s="74"/>
      <c r="Q56" s="74"/>
    </row>
    <row r="57" spans="1:17" x14ac:dyDescent="0.35">
      <c r="A57" s="156"/>
      <c r="B57" s="157"/>
      <c r="C57" s="158"/>
      <c r="D57" s="159"/>
      <c r="E57" s="159"/>
      <c r="F57" s="159"/>
      <c r="G57" s="160"/>
      <c r="H57" s="159"/>
      <c r="I57" s="74"/>
      <c r="J57" s="74"/>
      <c r="K57" s="74"/>
      <c r="L57" s="74"/>
      <c r="M57" s="74"/>
      <c r="N57" s="74"/>
      <c r="O57" s="74"/>
      <c r="P57" s="74"/>
      <c r="Q57" s="74"/>
    </row>
    <row r="58" spans="1:17" x14ac:dyDescent="0.35">
      <c r="A58" s="156"/>
      <c r="B58" s="157"/>
      <c r="C58" s="158"/>
      <c r="D58" s="159"/>
      <c r="E58" s="159"/>
      <c r="F58" s="159"/>
      <c r="G58" s="160"/>
      <c r="H58" s="159"/>
      <c r="I58" s="74"/>
      <c r="J58" s="74"/>
      <c r="K58" s="74"/>
      <c r="L58" s="74"/>
      <c r="M58" s="74"/>
      <c r="N58" s="74"/>
      <c r="O58" s="74"/>
      <c r="P58" s="74"/>
      <c r="Q58" s="74"/>
    </row>
    <row r="59" spans="1:17" x14ac:dyDescent="0.35">
      <c r="A59" s="156"/>
      <c r="B59" s="157"/>
      <c r="C59" s="157"/>
      <c r="D59" s="159"/>
      <c r="E59" s="159"/>
      <c r="F59" s="159"/>
      <c r="G59" s="160"/>
      <c r="H59" s="159"/>
      <c r="I59" s="74"/>
      <c r="J59" s="74"/>
      <c r="K59" s="74"/>
      <c r="L59" s="74"/>
      <c r="M59" s="74"/>
      <c r="N59" s="74"/>
      <c r="O59" s="74"/>
      <c r="P59" s="74"/>
      <c r="Q59" s="74"/>
    </row>
    <row r="60" spans="1:17" x14ac:dyDescent="0.35">
      <c r="A60" s="156"/>
      <c r="B60" s="157"/>
      <c r="C60" s="158"/>
      <c r="D60" s="159"/>
      <c r="E60" s="159"/>
      <c r="F60" s="159"/>
      <c r="G60" s="160"/>
      <c r="H60" s="159"/>
      <c r="I60" s="74"/>
      <c r="J60" s="74"/>
      <c r="K60" s="74"/>
      <c r="L60" s="74"/>
      <c r="M60" s="74"/>
      <c r="N60" s="74"/>
      <c r="O60" s="74"/>
      <c r="P60" s="74"/>
      <c r="Q60" s="74"/>
    </row>
    <row r="61" spans="1:17" x14ac:dyDescent="0.35">
      <c r="A61" s="163"/>
      <c r="B61" s="158"/>
      <c r="C61" s="158"/>
      <c r="D61" s="159"/>
      <c r="E61" s="159"/>
      <c r="F61" s="159"/>
      <c r="G61" s="160"/>
      <c r="H61" s="159"/>
      <c r="I61" s="74"/>
      <c r="J61" s="74"/>
      <c r="K61" s="74"/>
      <c r="L61" s="74"/>
      <c r="M61" s="74"/>
      <c r="N61" s="74"/>
      <c r="O61" s="74"/>
      <c r="P61" s="74"/>
      <c r="Q61" s="74"/>
    </row>
    <row r="62" spans="1:17" x14ac:dyDescent="0.35">
      <c r="A62" s="163"/>
      <c r="B62" s="158"/>
      <c r="C62" s="158"/>
      <c r="D62" s="159"/>
      <c r="E62" s="159"/>
      <c r="F62" s="159"/>
      <c r="G62" s="160"/>
      <c r="H62" s="159"/>
      <c r="I62" s="74"/>
      <c r="J62" s="74"/>
      <c r="K62" s="74"/>
      <c r="L62" s="74"/>
      <c r="M62" s="74"/>
      <c r="N62" s="74"/>
      <c r="O62" s="74"/>
      <c r="P62" s="74"/>
      <c r="Q62" s="74"/>
    </row>
    <row r="63" spans="1:17" x14ac:dyDescent="0.35">
      <c r="A63" s="163"/>
      <c r="B63" s="158"/>
      <c r="C63" s="158"/>
      <c r="D63" s="159"/>
      <c r="E63" s="159"/>
      <c r="F63" s="159"/>
      <c r="G63" s="160"/>
      <c r="H63" s="159"/>
      <c r="I63" s="74"/>
      <c r="J63" s="74"/>
      <c r="K63" s="74"/>
      <c r="L63" s="74"/>
      <c r="M63" s="74"/>
      <c r="N63" s="74"/>
      <c r="O63" s="74"/>
      <c r="P63" s="74"/>
      <c r="Q63" s="74"/>
    </row>
    <row r="64" spans="1:17" x14ac:dyDescent="0.35">
      <c r="A64" s="156"/>
      <c r="B64" s="157"/>
      <c r="C64" s="157"/>
      <c r="D64" s="159"/>
      <c r="E64" s="159"/>
      <c r="F64" s="159"/>
      <c r="G64" s="160"/>
      <c r="H64" s="159"/>
      <c r="I64" s="74"/>
      <c r="J64" s="74"/>
      <c r="K64" s="74"/>
      <c r="L64" s="74"/>
      <c r="M64" s="74"/>
      <c r="N64" s="74"/>
      <c r="O64" s="74"/>
      <c r="P64" s="74"/>
      <c r="Q64" s="74"/>
    </row>
    <row r="65" spans="1:17" x14ac:dyDescent="0.35">
      <c r="A65" s="163"/>
      <c r="B65" s="158"/>
      <c r="C65" s="158"/>
      <c r="D65" s="159"/>
      <c r="E65" s="159"/>
      <c r="F65" s="159"/>
      <c r="G65" s="160"/>
      <c r="H65" s="159"/>
      <c r="I65" s="74"/>
      <c r="J65" s="74"/>
      <c r="K65" s="74"/>
      <c r="L65" s="74"/>
      <c r="M65" s="74"/>
      <c r="N65" s="74"/>
      <c r="O65" s="74"/>
      <c r="P65" s="74"/>
      <c r="Q65" s="74"/>
    </row>
    <row r="66" spans="1:17" x14ac:dyDescent="0.35">
      <c r="A66" s="163"/>
      <c r="B66" s="158"/>
      <c r="C66" s="158"/>
      <c r="D66" s="159"/>
      <c r="E66" s="159"/>
      <c r="F66" s="159"/>
      <c r="G66" s="160"/>
      <c r="H66" s="159"/>
      <c r="I66" s="74"/>
      <c r="J66" s="74"/>
      <c r="K66" s="74"/>
      <c r="L66" s="74"/>
      <c r="M66" s="74"/>
      <c r="N66" s="74"/>
      <c r="O66" s="74"/>
      <c r="P66" s="74"/>
      <c r="Q66" s="74"/>
    </row>
    <row r="67" spans="1:17" x14ac:dyDescent="0.35">
      <c r="A67" s="163"/>
      <c r="B67" s="158"/>
      <c r="C67" s="158"/>
      <c r="D67" s="159"/>
      <c r="E67" s="159"/>
      <c r="F67" s="159"/>
      <c r="G67" s="160"/>
      <c r="H67" s="159"/>
      <c r="I67" s="74"/>
      <c r="J67" s="74"/>
      <c r="K67" s="74"/>
      <c r="L67" s="74"/>
      <c r="M67" s="74"/>
      <c r="N67" s="74"/>
      <c r="O67" s="74"/>
      <c r="P67" s="74"/>
      <c r="Q67" s="74"/>
    </row>
    <row r="68" spans="1:17" x14ac:dyDescent="0.35">
      <c r="A68" s="140"/>
      <c r="B68" s="161"/>
      <c r="C68" s="161"/>
      <c r="D68" s="140"/>
      <c r="E68" s="140"/>
      <c r="F68" s="140"/>
      <c r="G68" s="162"/>
      <c r="H68" s="140"/>
      <c r="I68" s="74"/>
      <c r="J68" s="74"/>
      <c r="K68" s="74"/>
      <c r="L68" s="74"/>
      <c r="M68" s="74"/>
      <c r="N68" s="74"/>
      <c r="O68" s="74"/>
      <c r="P68" s="74"/>
      <c r="Q68" s="74"/>
    </row>
    <row r="69" spans="1:17" x14ac:dyDescent="0.35">
      <c r="A69" s="156"/>
      <c r="B69" s="157"/>
      <c r="C69" s="158"/>
      <c r="D69" s="159"/>
      <c r="E69" s="159"/>
      <c r="F69" s="159"/>
      <c r="G69" s="160"/>
      <c r="H69" s="159"/>
      <c r="I69" s="74"/>
      <c r="J69" s="74"/>
      <c r="K69" s="74"/>
      <c r="L69" s="74"/>
      <c r="M69" s="74"/>
      <c r="N69" s="74"/>
      <c r="O69" s="74"/>
      <c r="P69" s="74"/>
      <c r="Q69" s="74"/>
    </row>
    <row r="70" spans="1:17" x14ac:dyDescent="0.35">
      <c r="A70" s="163"/>
      <c r="B70" s="158"/>
      <c r="C70" s="158"/>
      <c r="D70" s="159"/>
      <c r="E70" s="159"/>
      <c r="F70" s="159"/>
      <c r="G70" s="160"/>
      <c r="H70" s="159"/>
      <c r="I70" s="74"/>
      <c r="J70" s="74"/>
      <c r="K70" s="74"/>
      <c r="L70" s="74"/>
      <c r="M70" s="74"/>
      <c r="N70" s="74"/>
      <c r="O70" s="74"/>
      <c r="P70" s="74"/>
      <c r="Q70" s="74"/>
    </row>
    <row r="71" spans="1:17" x14ac:dyDescent="0.35">
      <c r="A71" s="170"/>
      <c r="B71" s="171"/>
      <c r="C71" s="158"/>
      <c r="D71" s="159"/>
      <c r="E71" s="159"/>
      <c r="F71" s="159"/>
      <c r="G71" s="160"/>
      <c r="H71" s="159"/>
      <c r="I71" s="74"/>
      <c r="J71" s="74"/>
      <c r="K71" s="74"/>
      <c r="L71" s="74"/>
      <c r="M71" s="74"/>
      <c r="N71" s="74"/>
      <c r="O71" s="74"/>
      <c r="P71" s="74"/>
      <c r="Q71" s="74"/>
    </row>
    <row r="72" spans="1:17" x14ac:dyDescent="0.35">
      <c r="A72" s="159"/>
      <c r="B72" s="157"/>
      <c r="C72" s="161"/>
      <c r="D72" s="140"/>
      <c r="E72" s="159"/>
      <c r="F72" s="159"/>
      <c r="G72" s="160"/>
      <c r="H72" s="159"/>
      <c r="I72" s="74"/>
      <c r="J72" s="74"/>
      <c r="K72" s="74"/>
      <c r="L72" s="74"/>
      <c r="M72" s="74"/>
      <c r="N72" s="74"/>
      <c r="O72" s="74"/>
      <c r="P72" s="74"/>
      <c r="Q72" s="74"/>
    </row>
    <row r="73" spans="1:17" x14ac:dyDescent="0.35">
      <c r="A73" s="159"/>
      <c r="B73" s="157"/>
      <c r="C73" s="157"/>
      <c r="D73" s="159"/>
      <c r="E73" s="159"/>
      <c r="F73" s="159"/>
      <c r="G73" s="160"/>
      <c r="H73" s="159"/>
      <c r="I73" s="74"/>
      <c r="J73" s="74"/>
      <c r="K73" s="74"/>
      <c r="L73" s="74"/>
      <c r="M73" s="74"/>
      <c r="N73" s="74"/>
      <c r="O73" s="74"/>
      <c r="P73" s="74"/>
      <c r="Q73" s="74"/>
    </row>
    <row r="74" spans="1:17" x14ac:dyDescent="0.35">
      <c r="A74" s="159"/>
      <c r="B74" s="157"/>
      <c r="C74" s="157"/>
      <c r="D74" s="159"/>
      <c r="E74" s="159"/>
      <c r="F74" s="159"/>
      <c r="G74" s="160"/>
      <c r="H74" s="159"/>
      <c r="I74" s="74"/>
      <c r="J74" s="74"/>
      <c r="K74" s="74"/>
      <c r="L74" s="74"/>
      <c r="M74" s="74"/>
      <c r="N74" s="74"/>
      <c r="O74" s="74"/>
      <c r="P74" s="74"/>
      <c r="Q74" s="74"/>
    </row>
    <row r="75" spans="1:17" x14ac:dyDescent="0.35">
      <c r="A75" s="159"/>
      <c r="B75" s="157"/>
      <c r="C75" s="157"/>
      <c r="D75" s="159"/>
      <c r="E75" s="159"/>
      <c r="F75" s="159"/>
      <c r="G75" s="160"/>
      <c r="H75" s="159"/>
      <c r="I75" s="74"/>
      <c r="J75" s="74"/>
      <c r="K75" s="74"/>
      <c r="L75" s="74"/>
      <c r="M75" s="74"/>
      <c r="N75" s="74"/>
      <c r="O75" s="74"/>
      <c r="P75" s="74"/>
      <c r="Q75" s="74"/>
    </row>
    <row r="76" spans="1:17" x14ac:dyDescent="0.35">
      <c r="A76" s="127"/>
      <c r="B76" s="157"/>
      <c r="C76" s="157"/>
      <c r="D76" s="159"/>
      <c r="E76" s="159"/>
      <c r="F76" s="159"/>
      <c r="G76" s="160"/>
      <c r="H76" s="159"/>
      <c r="I76" s="74"/>
      <c r="J76" s="74"/>
      <c r="K76" s="74"/>
      <c r="L76" s="74"/>
      <c r="M76" s="74"/>
      <c r="N76" s="74"/>
      <c r="O76" s="74"/>
      <c r="P76" s="74"/>
      <c r="Q76" s="74"/>
    </row>
    <row r="77" spans="1:17" x14ac:dyDescent="0.35">
      <c r="A77" s="156"/>
      <c r="B77" s="157"/>
      <c r="C77" s="157"/>
      <c r="D77" s="159"/>
      <c r="E77" s="159"/>
      <c r="F77" s="159"/>
      <c r="G77" s="160"/>
      <c r="H77" s="159"/>
      <c r="I77" s="74"/>
      <c r="J77" s="74"/>
      <c r="K77" s="74"/>
      <c r="L77" s="74"/>
      <c r="M77" s="74"/>
      <c r="N77" s="74"/>
      <c r="O77" s="74"/>
      <c r="P77" s="74"/>
      <c r="Q77" s="74"/>
    </row>
    <row r="78" spans="1:17" x14ac:dyDescent="0.35">
      <c r="A78" s="156"/>
      <c r="B78" s="157"/>
      <c r="C78" s="157"/>
      <c r="D78" s="159"/>
      <c r="E78" s="159"/>
      <c r="F78" s="159"/>
      <c r="G78" s="160"/>
      <c r="H78" s="159"/>
      <c r="I78" s="74"/>
      <c r="J78" s="74"/>
      <c r="K78" s="74"/>
      <c r="L78" s="74"/>
      <c r="M78" s="74"/>
      <c r="N78" s="74"/>
      <c r="O78" s="74"/>
      <c r="P78" s="74"/>
      <c r="Q78" s="74"/>
    </row>
    <row r="79" spans="1:17" x14ac:dyDescent="0.35">
      <c r="A79" s="156"/>
      <c r="B79" s="157"/>
      <c r="C79" s="157"/>
      <c r="D79" s="159"/>
      <c r="E79" s="159"/>
      <c r="F79" s="159"/>
      <c r="G79" s="160"/>
      <c r="H79" s="159"/>
      <c r="I79" s="74"/>
      <c r="J79" s="74"/>
      <c r="K79" s="74"/>
      <c r="L79" s="74"/>
      <c r="M79" s="74"/>
      <c r="N79" s="74"/>
      <c r="O79" s="74"/>
      <c r="P79" s="74"/>
      <c r="Q79" s="74"/>
    </row>
    <row r="80" spans="1:17" x14ac:dyDescent="0.35">
      <c r="A80" s="156"/>
      <c r="B80" s="157"/>
      <c r="C80" s="157"/>
      <c r="D80" s="159"/>
      <c r="E80" s="159"/>
      <c r="F80" s="159"/>
      <c r="G80" s="160"/>
      <c r="H80" s="159"/>
      <c r="I80" s="74"/>
      <c r="J80" s="74"/>
      <c r="K80" s="74"/>
      <c r="L80" s="74"/>
      <c r="M80" s="74"/>
      <c r="N80" s="74"/>
      <c r="O80" s="74"/>
      <c r="P80" s="74"/>
      <c r="Q80" s="74"/>
    </row>
    <row r="81" spans="1:17" x14ac:dyDescent="0.35">
      <c r="A81" s="156"/>
      <c r="B81" s="157"/>
      <c r="C81" s="158"/>
      <c r="D81" s="159"/>
      <c r="E81" s="159"/>
      <c r="F81" s="159"/>
      <c r="G81" s="160"/>
      <c r="H81" s="159"/>
      <c r="I81" s="74"/>
      <c r="J81" s="74"/>
      <c r="K81" s="74"/>
      <c r="L81" s="74"/>
      <c r="M81" s="74"/>
      <c r="N81" s="74"/>
      <c r="O81" s="74"/>
      <c r="P81" s="74"/>
      <c r="Q81" s="74"/>
    </row>
    <row r="82" spans="1:17" x14ac:dyDescent="0.35">
      <c r="A82" s="156"/>
      <c r="B82" s="157"/>
      <c r="C82" s="157"/>
      <c r="D82" s="159"/>
      <c r="E82" s="159"/>
      <c r="F82" s="159"/>
      <c r="G82" s="160"/>
      <c r="H82" s="159"/>
      <c r="I82" s="74"/>
      <c r="J82" s="126"/>
      <c r="K82" s="126"/>
      <c r="L82" s="126"/>
      <c r="M82" s="126"/>
      <c r="N82" s="126"/>
      <c r="O82" s="74"/>
      <c r="P82" s="74"/>
      <c r="Q82" s="74"/>
    </row>
    <row r="83" spans="1:17" x14ac:dyDescent="0.35">
      <c r="A83" s="156"/>
      <c r="B83" s="157"/>
      <c r="C83" s="157"/>
      <c r="D83" s="159"/>
      <c r="E83" s="159"/>
      <c r="F83" s="159"/>
      <c r="G83" s="160"/>
      <c r="H83" s="159"/>
      <c r="I83" s="117"/>
      <c r="J83" s="74"/>
      <c r="K83" s="74"/>
      <c r="L83" s="74"/>
      <c r="M83" s="74"/>
      <c r="N83" s="74"/>
      <c r="O83" s="74"/>
      <c r="P83" s="74"/>
      <c r="Q83" s="74"/>
    </row>
    <row r="84" spans="1:17" x14ac:dyDescent="0.35">
      <c r="A84" s="156"/>
      <c r="B84" s="157"/>
      <c r="C84" s="157"/>
      <c r="D84" s="159"/>
      <c r="E84" s="159"/>
      <c r="F84" s="159"/>
      <c r="G84" s="160"/>
      <c r="H84" s="159"/>
      <c r="I84" s="74"/>
      <c r="J84" s="74"/>
      <c r="K84" s="74"/>
      <c r="L84" s="74"/>
      <c r="M84" s="74"/>
      <c r="N84" s="74"/>
      <c r="O84" s="74"/>
      <c r="P84" s="74"/>
      <c r="Q84" s="74"/>
    </row>
    <row r="85" spans="1:17" x14ac:dyDescent="0.35">
      <c r="A85" s="156"/>
      <c r="B85" s="157"/>
      <c r="C85" s="157"/>
      <c r="D85" s="159"/>
      <c r="E85" s="159"/>
      <c r="F85" s="159"/>
      <c r="G85" s="160"/>
      <c r="H85" s="159"/>
      <c r="I85" s="74"/>
      <c r="J85" s="74"/>
      <c r="K85" s="74"/>
      <c r="L85" s="74"/>
      <c r="M85" s="74"/>
      <c r="N85" s="74"/>
      <c r="O85" s="74"/>
      <c r="P85" s="74"/>
      <c r="Q85" s="74"/>
    </row>
    <row r="86" spans="1:17" x14ac:dyDescent="0.35">
      <c r="A86" s="156"/>
      <c r="B86" s="157"/>
      <c r="C86" s="157"/>
      <c r="D86" s="159"/>
      <c r="E86" s="159"/>
      <c r="F86" s="159"/>
      <c r="G86" s="160"/>
      <c r="H86" s="159"/>
      <c r="I86" s="74"/>
      <c r="J86" s="74"/>
      <c r="K86" s="74"/>
      <c r="L86" s="74"/>
      <c r="M86" s="74"/>
      <c r="N86" s="74"/>
      <c r="O86" s="74"/>
      <c r="P86" s="74"/>
      <c r="Q86" s="74"/>
    </row>
    <row r="87" spans="1:17" x14ac:dyDescent="0.35">
      <c r="A87" s="156"/>
      <c r="B87" s="157"/>
      <c r="C87" s="157"/>
      <c r="D87" s="159"/>
      <c r="E87" s="159"/>
      <c r="F87" s="159"/>
      <c r="G87" s="160"/>
      <c r="H87" s="159"/>
      <c r="I87" s="74"/>
      <c r="J87" s="74"/>
      <c r="K87" s="74"/>
      <c r="L87" s="74"/>
      <c r="M87" s="74"/>
      <c r="N87" s="74"/>
      <c r="O87" s="74"/>
      <c r="P87" s="74"/>
      <c r="Q87" s="74"/>
    </row>
    <row r="88" spans="1:17" x14ac:dyDescent="0.35">
      <c r="A88" s="156"/>
      <c r="B88" s="157"/>
      <c r="C88" s="157"/>
      <c r="D88" s="159"/>
      <c r="E88" s="159"/>
      <c r="F88" s="159"/>
      <c r="G88" s="160"/>
      <c r="H88" s="159"/>
      <c r="I88" s="74"/>
      <c r="J88" s="74"/>
      <c r="K88" s="74"/>
      <c r="L88" s="74"/>
      <c r="M88" s="74"/>
      <c r="N88" s="74"/>
      <c r="O88" s="74"/>
      <c r="P88" s="74"/>
      <c r="Q88" s="74"/>
    </row>
    <row r="89" spans="1:17" x14ac:dyDescent="0.35">
      <c r="A89" s="156"/>
      <c r="B89" s="157"/>
      <c r="C89" s="157"/>
      <c r="D89" s="159"/>
      <c r="E89" s="159"/>
      <c r="F89" s="159"/>
      <c r="G89" s="160"/>
      <c r="H89" s="159"/>
      <c r="I89" s="74"/>
      <c r="J89" s="74"/>
      <c r="K89" s="74"/>
      <c r="L89" s="74"/>
      <c r="M89" s="74"/>
      <c r="N89" s="74"/>
      <c r="O89" s="74"/>
      <c r="P89" s="74"/>
      <c r="Q89" s="74"/>
    </row>
    <row r="90" spans="1:17" x14ac:dyDescent="0.35">
      <c r="A90" s="156"/>
      <c r="B90" s="157"/>
      <c r="C90" s="157"/>
      <c r="D90" s="159"/>
      <c r="E90" s="159"/>
      <c r="F90" s="159"/>
      <c r="G90" s="160"/>
      <c r="H90" s="159"/>
      <c r="I90" s="74"/>
      <c r="J90" s="74"/>
      <c r="K90" s="74"/>
      <c r="L90" s="74"/>
      <c r="M90" s="74"/>
      <c r="N90" s="74"/>
      <c r="O90" s="74"/>
      <c r="P90" s="74"/>
      <c r="Q90" s="74"/>
    </row>
    <row r="91" spans="1:17" x14ac:dyDescent="0.35">
      <c r="A91" s="156"/>
      <c r="B91" s="157"/>
      <c r="C91" s="157"/>
      <c r="D91" s="159"/>
      <c r="E91" s="159"/>
      <c r="F91" s="159"/>
      <c r="G91" s="160"/>
      <c r="H91" s="159"/>
      <c r="I91" s="74"/>
      <c r="J91" s="74"/>
      <c r="K91" s="74"/>
      <c r="L91" s="74"/>
      <c r="M91" s="74"/>
      <c r="N91" s="74"/>
      <c r="O91" s="74"/>
      <c r="P91" s="74"/>
      <c r="Q91" s="74"/>
    </row>
    <row r="92" spans="1:17" x14ac:dyDescent="0.35">
      <c r="A92" s="156"/>
      <c r="B92" s="157"/>
      <c r="C92" s="157"/>
      <c r="D92" s="159"/>
      <c r="E92" s="159"/>
      <c r="F92" s="159"/>
      <c r="G92" s="160"/>
      <c r="H92" s="159"/>
      <c r="I92" s="74"/>
      <c r="J92" s="74"/>
      <c r="K92" s="74"/>
      <c r="L92" s="74"/>
      <c r="M92" s="74"/>
      <c r="N92" s="74"/>
      <c r="O92" s="74"/>
      <c r="P92" s="74"/>
      <c r="Q92" s="74"/>
    </row>
    <row r="93" spans="1:17" x14ac:dyDescent="0.35">
      <c r="A93" s="156"/>
      <c r="B93" s="157"/>
      <c r="C93" s="157"/>
      <c r="D93" s="159"/>
      <c r="E93" s="159"/>
      <c r="F93" s="159"/>
      <c r="G93" s="160"/>
      <c r="H93" s="159"/>
      <c r="I93" s="74"/>
      <c r="J93" s="74"/>
      <c r="K93" s="74"/>
      <c r="L93" s="74"/>
      <c r="M93" s="74"/>
      <c r="N93" s="74"/>
      <c r="O93" s="74"/>
      <c r="P93" s="74"/>
      <c r="Q93" s="74"/>
    </row>
    <row r="94" spans="1:17" x14ac:dyDescent="0.35">
      <c r="A94" s="156"/>
      <c r="B94" s="157"/>
      <c r="C94" s="157"/>
      <c r="D94" s="159"/>
      <c r="E94" s="159"/>
      <c r="F94" s="159"/>
      <c r="G94" s="160"/>
      <c r="H94" s="159"/>
      <c r="I94" s="74"/>
      <c r="J94" s="74"/>
      <c r="K94" s="74"/>
      <c r="L94" s="74"/>
      <c r="M94" s="74"/>
      <c r="N94" s="74"/>
      <c r="O94" s="74"/>
      <c r="P94" s="74"/>
      <c r="Q94" s="74"/>
    </row>
    <row r="95" spans="1:17" x14ac:dyDescent="0.35">
      <c r="A95" s="156"/>
      <c r="B95" s="157"/>
      <c r="C95" s="157"/>
      <c r="D95" s="159"/>
      <c r="E95" s="159"/>
      <c r="F95" s="159"/>
      <c r="G95" s="160"/>
      <c r="H95" s="159"/>
      <c r="I95" s="74"/>
      <c r="J95" s="74"/>
      <c r="K95" s="74"/>
      <c r="L95" s="74"/>
      <c r="M95" s="74"/>
      <c r="N95" s="74"/>
      <c r="O95" s="74"/>
      <c r="P95" s="74"/>
      <c r="Q95" s="74"/>
    </row>
    <row r="96" spans="1:17" x14ac:dyDescent="0.35">
      <c r="A96" s="156"/>
      <c r="B96" s="157"/>
      <c r="C96" s="157"/>
      <c r="D96" s="159"/>
      <c r="E96" s="159"/>
      <c r="F96" s="159"/>
      <c r="G96" s="160"/>
      <c r="H96" s="159"/>
      <c r="I96" s="74"/>
      <c r="J96" s="74"/>
      <c r="K96" s="74"/>
      <c r="L96" s="74"/>
      <c r="M96" s="74"/>
      <c r="N96" s="74"/>
      <c r="O96" s="74"/>
      <c r="P96" s="74"/>
      <c r="Q96" s="74"/>
    </row>
    <row r="97" spans="1:17" x14ac:dyDescent="0.35">
      <c r="A97" s="156"/>
      <c r="B97" s="157"/>
      <c r="C97" s="157"/>
      <c r="D97" s="159"/>
      <c r="E97" s="159"/>
      <c r="F97" s="159"/>
      <c r="G97" s="160"/>
      <c r="H97" s="159"/>
      <c r="I97" s="74"/>
      <c r="J97" s="74"/>
      <c r="K97" s="74"/>
      <c r="L97" s="74"/>
      <c r="M97" s="74"/>
      <c r="N97" s="74"/>
      <c r="O97" s="74"/>
      <c r="P97" s="74"/>
      <c r="Q97" s="74"/>
    </row>
    <row r="98" spans="1:17" x14ac:dyDescent="0.35">
      <c r="A98" s="156"/>
      <c r="B98" s="157"/>
      <c r="C98" s="157"/>
      <c r="D98" s="159"/>
      <c r="E98" s="159"/>
      <c r="F98" s="159"/>
      <c r="G98" s="159"/>
      <c r="H98" s="159"/>
      <c r="I98" s="74"/>
      <c r="J98" s="74"/>
      <c r="K98" s="74"/>
      <c r="L98" s="74"/>
      <c r="M98" s="74"/>
      <c r="N98" s="74"/>
      <c r="O98" s="74"/>
      <c r="P98" s="74"/>
      <c r="Q98" s="74"/>
    </row>
    <row r="99" spans="1:17" x14ac:dyDescent="0.35">
      <c r="A99" s="156"/>
      <c r="B99" s="157"/>
      <c r="C99" s="157"/>
      <c r="D99" s="159"/>
      <c r="E99" s="159"/>
      <c r="F99" s="159"/>
      <c r="G99" s="160"/>
      <c r="H99" s="159"/>
      <c r="I99" s="74"/>
      <c r="J99" s="74"/>
      <c r="K99" s="74"/>
      <c r="L99" s="74"/>
      <c r="M99" s="74"/>
      <c r="N99" s="74"/>
      <c r="O99" s="74"/>
      <c r="P99" s="74"/>
      <c r="Q99" s="74"/>
    </row>
    <row r="100" spans="1:17" x14ac:dyDescent="0.35">
      <c r="A100" s="156"/>
      <c r="B100" s="157"/>
      <c r="C100" s="157"/>
      <c r="D100" s="159"/>
      <c r="E100" s="159"/>
      <c r="F100" s="159"/>
      <c r="G100" s="160"/>
      <c r="H100" s="159"/>
      <c r="I100" s="74"/>
      <c r="J100" s="74"/>
      <c r="K100" s="74"/>
      <c r="L100" s="74"/>
      <c r="M100" s="74"/>
      <c r="N100" s="74"/>
      <c r="O100" s="74"/>
      <c r="P100" s="74"/>
      <c r="Q100" s="74"/>
    </row>
    <row r="101" spans="1:17" x14ac:dyDescent="0.35">
      <c r="A101" s="156"/>
      <c r="B101" s="157"/>
      <c r="C101" s="158"/>
      <c r="D101" s="159"/>
      <c r="E101" s="159"/>
      <c r="F101" s="159"/>
      <c r="G101" s="160"/>
      <c r="H101" s="159"/>
      <c r="I101" s="74"/>
      <c r="J101" s="74"/>
      <c r="K101" s="74"/>
      <c r="L101" s="74"/>
      <c r="M101" s="74"/>
      <c r="N101" s="74"/>
      <c r="O101" s="74"/>
      <c r="P101" s="74"/>
      <c r="Q101" s="74"/>
    </row>
    <row r="102" spans="1:17" x14ac:dyDescent="0.35">
      <c r="A102" s="156"/>
      <c r="B102" s="157"/>
      <c r="C102" s="158"/>
      <c r="D102" s="159"/>
      <c r="E102" s="159"/>
      <c r="F102" s="159"/>
      <c r="G102" s="160"/>
      <c r="H102" s="159"/>
      <c r="I102" s="74"/>
      <c r="J102" s="74"/>
      <c r="K102" s="74"/>
      <c r="L102" s="74"/>
      <c r="M102" s="74"/>
      <c r="N102" s="74"/>
      <c r="O102" s="74"/>
      <c r="P102" s="74"/>
      <c r="Q102" s="74"/>
    </row>
    <row r="103" spans="1:17" x14ac:dyDescent="0.35">
      <c r="A103" s="156"/>
      <c r="B103" s="157"/>
      <c r="C103" s="157"/>
      <c r="D103" s="159"/>
      <c r="E103" s="159"/>
      <c r="F103" s="159"/>
      <c r="G103" s="160"/>
      <c r="H103" s="159"/>
      <c r="I103" s="74"/>
      <c r="J103" s="74"/>
      <c r="K103" s="74"/>
      <c r="L103" s="74"/>
      <c r="M103" s="74"/>
      <c r="N103" s="74"/>
      <c r="O103" s="74"/>
      <c r="P103" s="74"/>
      <c r="Q103" s="74"/>
    </row>
    <row r="104" spans="1:17" x14ac:dyDescent="0.35">
      <c r="A104" s="156"/>
      <c r="B104" s="157"/>
      <c r="C104" s="157"/>
      <c r="D104" s="159"/>
      <c r="E104" s="159"/>
      <c r="F104" s="159"/>
      <c r="G104" s="160"/>
      <c r="H104" s="159"/>
      <c r="I104" s="74"/>
      <c r="J104" s="74"/>
      <c r="K104" s="74"/>
      <c r="L104" s="74"/>
      <c r="M104" s="74"/>
      <c r="N104" s="74"/>
      <c r="O104" s="74"/>
      <c r="P104" s="74"/>
      <c r="Q104" s="74"/>
    </row>
    <row r="105" spans="1:17" x14ac:dyDescent="0.35">
      <c r="A105" s="156"/>
      <c r="B105" s="157"/>
      <c r="C105" s="157"/>
      <c r="D105" s="159"/>
      <c r="E105" s="159"/>
      <c r="F105" s="159"/>
      <c r="G105" s="160"/>
      <c r="H105" s="159"/>
      <c r="I105" s="74"/>
      <c r="J105" s="74"/>
      <c r="K105" s="74"/>
      <c r="L105" s="74"/>
      <c r="M105" s="74"/>
      <c r="N105" s="74"/>
      <c r="O105" s="74"/>
      <c r="P105" s="74"/>
      <c r="Q105" s="74"/>
    </row>
    <row r="106" spans="1:17" x14ac:dyDescent="0.35">
      <c r="A106" s="156"/>
      <c r="B106" s="157"/>
      <c r="C106" s="158"/>
      <c r="D106" s="159"/>
      <c r="E106" s="159"/>
      <c r="F106" s="159"/>
      <c r="G106" s="160"/>
      <c r="H106" s="159"/>
      <c r="I106" s="74"/>
      <c r="J106" s="74"/>
      <c r="K106" s="74"/>
      <c r="L106" s="74"/>
      <c r="M106" s="74"/>
      <c r="N106" s="74"/>
      <c r="O106" s="74"/>
      <c r="P106" s="74"/>
      <c r="Q106" s="74"/>
    </row>
    <row r="107" spans="1:17" x14ac:dyDescent="0.35">
      <c r="A107" s="156"/>
      <c r="B107" s="157"/>
      <c r="C107" s="157"/>
      <c r="D107" s="159"/>
      <c r="E107" s="159"/>
      <c r="F107" s="159"/>
      <c r="G107" s="160"/>
      <c r="H107" s="159"/>
      <c r="I107" s="74"/>
      <c r="J107" s="74"/>
      <c r="K107" s="74"/>
      <c r="L107" s="74"/>
      <c r="M107" s="74"/>
      <c r="N107" s="74"/>
      <c r="O107" s="74"/>
      <c r="P107" s="74"/>
      <c r="Q107" s="74"/>
    </row>
    <row r="108" spans="1:17" x14ac:dyDescent="0.35">
      <c r="A108" s="156"/>
      <c r="B108" s="157"/>
      <c r="C108" s="158"/>
      <c r="D108" s="159"/>
      <c r="E108" s="159"/>
      <c r="F108" s="159"/>
      <c r="G108" s="160"/>
      <c r="H108" s="159"/>
      <c r="I108" s="74"/>
      <c r="J108" s="74"/>
      <c r="K108" s="74"/>
      <c r="L108" s="74"/>
      <c r="M108" s="74"/>
      <c r="N108" s="74"/>
      <c r="O108" s="74"/>
      <c r="P108" s="74"/>
      <c r="Q108" s="74"/>
    </row>
    <row r="109" spans="1:17" x14ac:dyDescent="0.35">
      <c r="A109" s="156"/>
      <c r="B109" s="157"/>
      <c r="C109" s="158"/>
      <c r="D109" s="159"/>
      <c r="E109" s="159"/>
      <c r="F109" s="159"/>
      <c r="G109" s="160"/>
      <c r="H109" s="159"/>
      <c r="I109" s="74"/>
      <c r="J109" s="74"/>
      <c r="K109" s="74"/>
      <c r="L109" s="74"/>
      <c r="M109" s="74"/>
      <c r="N109" s="74"/>
      <c r="O109" s="74"/>
      <c r="P109" s="74"/>
      <c r="Q109" s="74"/>
    </row>
    <row r="110" spans="1:17" x14ac:dyDescent="0.35">
      <c r="A110" s="156"/>
      <c r="B110" s="157"/>
      <c r="C110" s="158"/>
      <c r="D110" s="159"/>
      <c r="E110" s="159"/>
      <c r="F110" s="159"/>
      <c r="G110" s="160"/>
      <c r="H110" s="159"/>
      <c r="I110" s="74"/>
      <c r="J110" s="74"/>
      <c r="K110" s="74"/>
      <c r="L110" s="74"/>
      <c r="M110" s="74"/>
      <c r="N110" s="74"/>
      <c r="O110" s="74"/>
      <c r="P110" s="74"/>
      <c r="Q110" s="74"/>
    </row>
    <row r="111" spans="1:17" x14ac:dyDescent="0.35">
      <c r="A111" s="156"/>
      <c r="B111" s="157"/>
      <c r="C111" s="158"/>
      <c r="D111" s="159"/>
      <c r="E111" s="159"/>
      <c r="F111" s="159"/>
      <c r="G111" s="160"/>
      <c r="H111" s="159"/>
      <c r="I111" s="74"/>
      <c r="J111" s="74"/>
      <c r="K111" s="74"/>
      <c r="L111" s="74"/>
      <c r="M111" s="74"/>
      <c r="N111" s="74"/>
      <c r="O111" s="74"/>
      <c r="P111" s="74"/>
      <c r="Q111" s="74"/>
    </row>
    <row r="112" spans="1:17" x14ac:dyDescent="0.35">
      <c r="A112" s="156"/>
      <c r="B112" s="157"/>
      <c r="C112" s="157"/>
      <c r="D112" s="159"/>
      <c r="E112" s="159"/>
      <c r="F112" s="159"/>
      <c r="G112" s="160"/>
      <c r="H112" s="159"/>
      <c r="I112" s="74"/>
      <c r="J112" s="74"/>
      <c r="K112" s="74"/>
      <c r="L112" s="74"/>
      <c r="M112" s="74"/>
      <c r="N112" s="74"/>
      <c r="O112" s="74"/>
      <c r="P112" s="74"/>
      <c r="Q112" s="74"/>
    </row>
    <row r="113" spans="1:17" x14ac:dyDescent="0.35">
      <c r="A113" s="156"/>
      <c r="B113" s="157"/>
      <c r="C113" s="158"/>
      <c r="D113" s="159"/>
      <c r="E113" s="159"/>
      <c r="F113" s="159"/>
      <c r="G113" s="160"/>
      <c r="H113" s="159"/>
      <c r="I113" s="74"/>
      <c r="J113" s="74"/>
      <c r="K113" s="74"/>
      <c r="L113" s="74"/>
      <c r="M113" s="74"/>
      <c r="N113" s="74"/>
      <c r="O113" s="74"/>
      <c r="P113" s="74"/>
      <c r="Q113" s="74"/>
    </row>
    <row r="114" spans="1:17" x14ac:dyDescent="0.35">
      <c r="A114" s="156"/>
      <c r="B114" s="157"/>
      <c r="C114" s="158"/>
      <c r="D114" s="159"/>
      <c r="E114" s="159"/>
      <c r="F114" s="159"/>
      <c r="G114" s="160"/>
      <c r="H114" s="159"/>
      <c r="I114" s="74"/>
      <c r="J114" s="74"/>
      <c r="K114" s="74"/>
      <c r="L114" s="74"/>
      <c r="M114" s="74"/>
      <c r="N114" s="74"/>
      <c r="O114" s="127"/>
      <c r="P114" s="70"/>
      <c r="Q114" s="70"/>
    </row>
    <row r="115" spans="1:17" x14ac:dyDescent="0.35">
      <c r="A115" s="156"/>
      <c r="B115" s="157"/>
      <c r="C115" s="158"/>
      <c r="D115" s="159"/>
      <c r="E115" s="159"/>
      <c r="F115" s="159"/>
      <c r="G115" s="160"/>
      <c r="H115" s="159"/>
      <c r="I115" s="74"/>
      <c r="J115" s="74"/>
      <c r="K115" s="74"/>
      <c r="L115" s="74"/>
      <c r="M115" s="74"/>
      <c r="N115" s="74"/>
      <c r="O115" s="127"/>
      <c r="P115" s="70"/>
      <c r="Q115" s="70"/>
    </row>
    <row r="116" spans="1:17" x14ac:dyDescent="0.35">
      <c r="A116" s="156"/>
      <c r="B116" s="157"/>
      <c r="C116" s="158"/>
      <c r="D116" s="159"/>
      <c r="E116" s="159"/>
      <c r="F116" s="159"/>
      <c r="G116" s="160"/>
      <c r="H116" s="159"/>
      <c r="I116" s="74"/>
      <c r="J116" s="74"/>
      <c r="K116" s="74"/>
      <c r="L116" s="74"/>
      <c r="M116" s="74"/>
      <c r="N116" s="74"/>
      <c r="O116" s="127"/>
      <c r="P116" s="70"/>
      <c r="Q116" s="70"/>
    </row>
    <row r="117" spans="1:17" x14ac:dyDescent="0.35">
      <c r="A117" s="156"/>
      <c r="B117" s="157"/>
      <c r="C117" s="157"/>
      <c r="D117" s="159"/>
      <c r="E117" s="159"/>
      <c r="F117" s="159"/>
      <c r="G117" s="160"/>
      <c r="H117" s="159"/>
      <c r="I117" s="74"/>
      <c r="J117" s="74"/>
      <c r="K117" s="74"/>
      <c r="L117" s="74"/>
      <c r="M117" s="74"/>
      <c r="N117" s="74"/>
      <c r="O117" s="127"/>
      <c r="P117" s="70"/>
      <c r="Q117" s="70"/>
    </row>
    <row r="118" spans="1:17" x14ac:dyDescent="0.35">
      <c r="A118" s="156"/>
      <c r="B118" s="157"/>
      <c r="C118" s="158"/>
      <c r="D118" s="159"/>
      <c r="E118" s="159"/>
      <c r="F118" s="159"/>
      <c r="G118" s="160"/>
      <c r="H118" s="159"/>
      <c r="I118" s="74"/>
      <c r="J118" s="74"/>
      <c r="K118" s="74"/>
      <c r="L118" s="74"/>
      <c r="M118" s="74"/>
      <c r="N118" s="74"/>
      <c r="O118" s="127"/>
      <c r="P118" s="70"/>
      <c r="Q118" s="70"/>
    </row>
    <row r="119" spans="1:17" x14ac:dyDescent="0.35">
      <c r="A119" s="156"/>
      <c r="B119" s="157"/>
      <c r="C119" s="158"/>
      <c r="D119" s="159"/>
      <c r="E119" s="159"/>
      <c r="F119" s="159"/>
      <c r="G119" s="160"/>
      <c r="H119" s="159"/>
      <c r="I119" s="74"/>
      <c r="J119" s="74"/>
      <c r="K119" s="74"/>
      <c r="L119" s="74"/>
      <c r="M119" s="74"/>
      <c r="N119" s="74"/>
      <c r="O119" s="127"/>
      <c r="P119" s="70"/>
      <c r="Q119" s="70"/>
    </row>
    <row r="120" spans="1:17" x14ac:dyDescent="0.35">
      <c r="A120" s="156"/>
      <c r="B120" s="157"/>
      <c r="C120" s="158"/>
      <c r="D120" s="159"/>
      <c r="E120" s="159"/>
      <c r="F120" s="159"/>
      <c r="G120" s="160"/>
      <c r="H120" s="159"/>
      <c r="I120" s="74"/>
      <c r="J120" s="74"/>
      <c r="K120" s="74"/>
      <c r="L120" s="74"/>
      <c r="M120" s="74"/>
      <c r="N120" s="74"/>
      <c r="O120" s="127"/>
      <c r="P120" s="70"/>
      <c r="Q120" s="70"/>
    </row>
    <row r="121" spans="1:17" x14ac:dyDescent="0.35">
      <c r="A121" s="156"/>
      <c r="B121" s="157"/>
      <c r="C121" s="158"/>
      <c r="D121" s="159"/>
      <c r="E121" s="175"/>
      <c r="F121" s="176"/>
      <c r="G121" s="160"/>
      <c r="H121" s="159"/>
      <c r="I121" s="74"/>
      <c r="J121" s="74"/>
      <c r="K121" s="74"/>
      <c r="L121" s="74"/>
      <c r="M121" s="74"/>
      <c r="N121" s="74"/>
      <c r="O121" s="127"/>
      <c r="P121" s="70"/>
      <c r="Q121" s="70"/>
    </row>
    <row r="122" spans="1:17" x14ac:dyDescent="0.35">
      <c r="A122" s="156"/>
      <c r="B122" s="157"/>
      <c r="C122" s="158"/>
      <c r="D122" s="159"/>
      <c r="E122" s="175"/>
      <c r="F122" s="159"/>
      <c r="G122" s="160"/>
      <c r="H122" s="159"/>
      <c r="I122" s="74"/>
      <c r="J122" s="74"/>
      <c r="K122" s="74"/>
      <c r="L122" s="74"/>
      <c r="M122" s="74"/>
      <c r="N122" s="74"/>
      <c r="O122" s="127"/>
      <c r="P122" s="70"/>
      <c r="Q122" s="70"/>
    </row>
    <row r="123" spans="1:17" x14ac:dyDescent="0.35">
      <c r="A123" s="156"/>
      <c r="B123" s="157"/>
      <c r="C123" s="158"/>
      <c r="D123" s="159"/>
      <c r="E123" s="159"/>
      <c r="F123" s="159"/>
      <c r="G123" s="160"/>
      <c r="H123" s="159"/>
      <c r="I123" s="74"/>
      <c r="J123" s="74"/>
      <c r="K123" s="74"/>
      <c r="L123" s="74"/>
      <c r="M123" s="74"/>
      <c r="N123" s="74"/>
      <c r="O123" s="127"/>
      <c r="P123" s="70"/>
      <c r="Q123" s="70"/>
    </row>
    <row r="124" spans="1:17" x14ac:dyDescent="0.35">
      <c r="A124" s="156"/>
      <c r="B124" s="157"/>
      <c r="C124" s="158"/>
      <c r="D124" s="159"/>
      <c r="E124" s="159"/>
      <c r="F124" s="159"/>
      <c r="G124" s="160"/>
      <c r="H124" s="159"/>
      <c r="I124" s="74"/>
      <c r="J124" s="74"/>
      <c r="K124" s="74"/>
      <c r="L124" s="74"/>
      <c r="M124" s="74"/>
      <c r="N124" s="74"/>
      <c r="O124" s="127"/>
      <c r="P124" s="70"/>
      <c r="Q124" s="70"/>
    </row>
    <row r="125" spans="1:17" x14ac:dyDescent="0.35">
      <c r="A125" s="156"/>
      <c r="B125" s="157"/>
      <c r="C125" s="158"/>
      <c r="D125" s="159"/>
      <c r="E125" s="159"/>
      <c r="F125" s="159"/>
      <c r="G125" s="160"/>
      <c r="H125" s="159"/>
      <c r="I125" s="74"/>
      <c r="J125" s="74"/>
      <c r="K125" s="74"/>
      <c r="L125" s="74"/>
      <c r="M125" s="74"/>
      <c r="N125" s="74"/>
      <c r="O125" s="127"/>
      <c r="P125" s="70"/>
      <c r="Q125" s="70"/>
    </row>
    <row r="126" spans="1:17" x14ac:dyDescent="0.35">
      <c r="A126" s="156"/>
      <c r="B126" s="157"/>
      <c r="C126" s="158"/>
      <c r="D126" s="159"/>
      <c r="E126" s="159"/>
      <c r="F126" s="159"/>
      <c r="G126" s="160"/>
      <c r="H126" s="159"/>
      <c r="I126" s="74"/>
      <c r="J126" s="74"/>
      <c r="K126" s="74"/>
      <c r="L126" s="74"/>
      <c r="M126" s="74"/>
      <c r="N126" s="74"/>
      <c r="O126" s="127"/>
      <c r="P126" s="70"/>
      <c r="Q126" s="70"/>
    </row>
    <row r="127" spans="1:17" x14ac:dyDescent="0.35">
      <c r="A127" s="156"/>
      <c r="B127" s="157"/>
      <c r="C127" s="158"/>
      <c r="D127" s="159"/>
      <c r="E127" s="159"/>
      <c r="F127" s="159"/>
      <c r="G127" s="160"/>
      <c r="H127" s="159"/>
      <c r="I127" s="74"/>
      <c r="J127" s="74"/>
      <c r="K127" s="74"/>
      <c r="L127" s="74"/>
      <c r="M127" s="74"/>
      <c r="N127" s="74"/>
      <c r="O127" s="127"/>
      <c r="P127" s="70"/>
      <c r="Q127" s="70"/>
    </row>
    <row r="128" spans="1:17" x14ac:dyDescent="0.35">
      <c r="A128" s="140"/>
      <c r="B128" s="172"/>
      <c r="C128" s="158"/>
      <c r="D128" s="159"/>
      <c r="E128" s="173"/>
      <c r="F128" s="140"/>
      <c r="G128" s="162"/>
      <c r="H128" s="159"/>
      <c r="I128" s="74"/>
      <c r="J128" s="74"/>
      <c r="K128" s="74"/>
      <c r="L128" s="74"/>
      <c r="M128" s="74"/>
      <c r="N128" s="74"/>
      <c r="O128" s="127"/>
      <c r="P128" s="70"/>
      <c r="Q128" s="70"/>
    </row>
    <row r="129" spans="1:17" x14ac:dyDescent="0.35">
      <c r="A129" s="156"/>
      <c r="B129" s="157"/>
      <c r="C129" s="157"/>
      <c r="D129" s="159"/>
      <c r="E129" s="159"/>
      <c r="F129" s="159"/>
      <c r="G129" s="160"/>
      <c r="H129" s="140"/>
      <c r="I129" s="74"/>
      <c r="J129" s="74"/>
      <c r="K129" s="74"/>
      <c r="L129" s="74"/>
      <c r="M129" s="74"/>
      <c r="N129" s="74"/>
      <c r="O129" s="127"/>
      <c r="P129" s="70"/>
      <c r="Q129" s="70"/>
    </row>
    <row r="130" spans="1:17" x14ac:dyDescent="0.35">
      <c r="A130" s="156"/>
      <c r="B130" s="157"/>
      <c r="C130" s="158"/>
      <c r="D130" s="159"/>
      <c r="E130" s="159"/>
      <c r="F130" s="159"/>
      <c r="G130" s="160"/>
      <c r="H130" s="159"/>
      <c r="I130" s="74"/>
      <c r="J130" s="74"/>
      <c r="K130" s="74"/>
      <c r="L130" s="74"/>
      <c r="M130" s="74"/>
      <c r="N130" s="74"/>
      <c r="O130" s="127"/>
      <c r="P130" s="70"/>
      <c r="Q130" s="70"/>
    </row>
    <row r="131" spans="1:17" x14ac:dyDescent="0.35">
      <c r="A131" s="156"/>
      <c r="B131" s="157"/>
      <c r="C131" s="158"/>
      <c r="D131" s="159"/>
      <c r="E131" s="159"/>
      <c r="F131" s="159"/>
      <c r="G131" s="160"/>
      <c r="H131" s="159"/>
      <c r="I131" s="74"/>
      <c r="J131" s="74"/>
      <c r="K131" s="74"/>
      <c r="L131" s="74"/>
      <c r="M131" s="74"/>
      <c r="N131" s="74"/>
      <c r="O131" s="127"/>
      <c r="P131" s="70"/>
      <c r="Q131" s="70"/>
    </row>
    <row r="132" spans="1:17" x14ac:dyDescent="0.35">
      <c r="A132" s="156"/>
      <c r="B132" s="157"/>
      <c r="C132" s="158"/>
      <c r="D132" s="159"/>
      <c r="E132" s="159"/>
      <c r="F132" s="159"/>
      <c r="G132" s="160"/>
      <c r="H132" s="159"/>
      <c r="I132" s="74"/>
      <c r="J132" s="74"/>
      <c r="K132" s="74"/>
      <c r="L132" s="74"/>
      <c r="M132" s="74"/>
      <c r="N132" s="74"/>
      <c r="O132" s="127"/>
      <c r="P132" s="70"/>
      <c r="Q132" s="70"/>
    </row>
    <row r="133" spans="1:17" x14ac:dyDescent="0.35">
      <c r="A133" s="156"/>
      <c r="B133" s="157"/>
      <c r="C133" s="157"/>
      <c r="D133" s="159"/>
      <c r="E133" s="159"/>
      <c r="F133" s="159"/>
      <c r="G133" s="160"/>
      <c r="H133" s="159"/>
      <c r="I133" s="74"/>
      <c r="J133" s="74"/>
      <c r="K133" s="74"/>
      <c r="L133" s="74"/>
      <c r="M133" s="74"/>
      <c r="N133" s="74"/>
      <c r="O133" s="127"/>
      <c r="P133" s="70"/>
      <c r="Q133" s="70"/>
    </row>
    <row r="134" spans="1:17" x14ac:dyDescent="0.35">
      <c r="A134" s="156"/>
      <c r="B134" s="157"/>
      <c r="C134" s="158"/>
      <c r="D134" s="159"/>
      <c r="E134" s="159"/>
      <c r="F134" s="159"/>
      <c r="G134" s="160"/>
      <c r="H134" s="159"/>
      <c r="I134" s="74"/>
      <c r="J134" s="74"/>
      <c r="K134" s="74"/>
      <c r="L134" s="74"/>
      <c r="M134" s="74"/>
      <c r="N134" s="74"/>
      <c r="O134" s="127"/>
      <c r="P134" s="70"/>
      <c r="Q134" s="70"/>
    </row>
    <row r="135" spans="1:17" x14ac:dyDescent="0.35">
      <c r="A135" s="156"/>
      <c r="B135" s="157"/>
      <c r="C135" s="158"/>
      <c r="D135" s="159"/>
      <c r="E135" s="159"/>
      <c r="F135" s="159"/>
      <c r="G135" s="160"/>
      <c r="H135" s="159"/>
      <c r="I135" s="74"/>
      <c r="J135" s="74"/>
      <c r="K135" s="74"/>
      <c r="L135" s="74"/>
      <c r="M135" s="74"/>
      <c r="N135" s="74"/>
      <c r="O135" s="127"/>
      <c r="P135" s="70"/>
      <c r="Q135" s="70"/>
    </row>
    <row r="136" spans="1:17" x14ac:dyDescent="0.35">
      <c r="A136" s="140"/>
      <c r="B136" s="161"/>
      <c r="C136" s="161"/>
      <c r="D136" s="140"/>
      <c r="E136" s="140"/>
      <c r="F136" s="140"/>
      <c r="G136" s="162"/>
      <c r="H136" s="140"/>
      <c r="I136" s="74"/>
      <c r="J136" s="74"/>
      <c r="K136" s="74"/>
      <c r="L136" s="74"/>
      <c r="M136" s="74"/>
      <c r="N136" s="74"/>
      <c r="O136" s="127"/>
      <c r="P136" s="70"/>
      <c r="Q136" s="70"/>
    </row>
    <row r="137" spans="1:17" x14ac:dyDescent="0.35">
      <c r="A137" s="156"/>
      <c r="B137" s="157"/>
      <c r="C137" s="157"/>
      <c r="D137" s="159"/>
      <c r="E137" s="159"/>
      <c r="F137" s="159"/>
      <c r="G137" s="160"/>
      <c r="H137" s="159"/>
      <c r="I137" s="74"/>
      <c r="J137" s="74"/>
      <c r="K137" s="74"/>
      <c r="L137" s="74"/>
      <c r="M137" s="74"/>
      <c r="N137" s="74"/>
      <c r="O137" s="127"/>
      <c r="P137" s="70"/>
      <c r="Q137" s="70"/>
    </row>
    <row r="138" spans="1:17" x14ac:dyDescent="0.35">
      <c r="A138" s="156"/>
      <c r="B138" s="157"/>
      <c r="C138" s="158"/>
      <c r="D138" s="159"/>
      <c r="E138" s="159"/>
      <c r="F138" s="159"/>
      <c r="G138" s="160"/>
      <c r="H138" s="159"/>
      <c r="I138" s="74"/>
      <c r="J138" s="74"/>
      <c r="K138" s="74"/>
      <c r="L138" s="74"/>
      <c r="M138" s="74"/>
      <c r="N138" s="74"/>
      <c r="O138" s="127"/>
      <c r="P138" s="70"/>
      <c r="Q138" s="70"/>
    </row>
    <row r="139" spans="1:17" x14ac:dyDescent="0.35">
      <c r="A139" s="156"/>
      <c r="B139" s="157"/>
      <c r="C139" s="157"/>
      <c r="D139" s="159"/>
      <c r="E139" s="159"/>
      <c r="F139" s="159"/>
      <c r="G139" s="160"/>
      <c r="H139" s="159"/>
      <c r="I139" s="74"/>
      <c r="J139" s="74"/>
      <c r="K139" s="74"/>
      <c r="L139" s="74"/>
      <c r="M139" s="74"/>
      <c r="N139" s="74"/>
      <c r="O139" s="127"/>
      <c r="P139" s="70"/>
      <c r="Q139" s="70"/>
    </row>
    <row r="140" spans="1:17" x14ac:dyDescent="0.35">
      <c r="A140" s="156"/>
      <c r="B140" s="157"/>
      <c r="C140" s="157"/>
      <c r="D140" s="159"/>
      <c r="E140" s="159"/>
      <c r="F140" s="159"/>
      <c r="G140" s="160"/>
      <c r="H140" s="159"/>
      <c r="I140" s="74"/>
      <c r="J140" s="74"/>
      <c r="K140" s="74"/>
      <c r="L140" s="74"/>
      <c r="M140" s="74"/>
      <c r="N140" s="74"/>
      <c r="O140" s="127"/>
      <c r="P140" s="70"/>
      <c r="Q140" s="70"/>
    </row>
    <row r="141" spans="1:17" x14ac:dyDescent="0.35">
      <c r="A141" s="156"/>
      <c r="B141" s="157"/>
      <c r="C141" s="157"/>
      <c r="D141" s="159"/>
      <c r="E141" s="159"/>
      <c r="F141" s="159"/>
      <c r="G141" s="160"/>
      <c r="H141" s="159"/>
      <c r="I141" s="74"/>
      <c r="J141" s="74"/>
      <c r="K141" s="74"/>
      <c r="L141" s="74"/>
      <c r="M141" s="74"/>
      <c r="N141" s="74"/>
      <c r="O141" s="127"/>
      <c r="P141" s="70"/>
      <c r="Q141" s="70"/>
    </row>
    <row r="142" spans="1:17" x14ac:dyDescent="0.35">
      <c r="A142" s="156"/>
      <c r="B142" s="157"/>
      <c r="C142" s="157"/>
      <c r="D142" s="159"/>
      <c r="E142" s="159"/>
      <c r="F142" s="159"/>
      <c r="G142" s="160"/>
      <c r="H142" s="159"/>
      <c r="I142" s="74"/>
      <c r="J142" s="74"/>
      <c r="K142" s="74"/>
      <c r="L142" s="74"/>
      <c r="M142" s="74"/>
      <c r="N142" s="74"/>
      <c r="O142" s="127"/>
      <c r="P142" s="70"/>
      <c r="Q142" s="70"/>
    </row>
    <row r="143" spans="1:17" x14ac:dyDescent="0.35">
      <c r="A143" s="156"/>
      <c r="B143" s="157"/>
      <c r="C143" s="157"/>
      <c r="D143" s="159"/>
      <c r="E143" s="159"/>
      <c r="F143" s="159"/>
      <c r="G143" s="160"/>
      <c r="H143" s="159"/>
      <c r="I143" s="74"/>
      <c r="J143" s="74"/>
      <c r="K143" s="74"/>
      <c r="L143" s="74"/>
      <c r="M143" s="74"/>
      <c r="N143" s="74"/>
      <c r="O143" s="127"/>
      <c r="P143" s="70"/>
      <c r="Q143" s="70"/>
    </row>
    <row r="144" spans="1:17" x14ac:dyDescent="0.35">
      <c r="A144" s="156"/>
      <c r="B144" s="157"/>
      <c r="C144" s="157"/>
      <c r="D144" s="159"/>
      <c r="E144" s="159"/>
      <c r="F144" s="159"/>
      <c r="G144" s="160"/>
      <c r="H144" s="159"/>
      <c r="I144" s="74"/>
      <c r="J144" s="74"/>
      <c r="K144" s="74"/>
      <c r="L144" s="74"/>
      <c r="M144" s="74"/>
      <c r="N144" s="74"/>
      <c r="O144" s="127"/>
      <c r="P144" s="70"/>
      <c r="Q144" s="70"/>
    </row>
    <row r="145" spans="1:17" x14ac:dyDescent="0.35">
      <c r="A145" s="156"/>
      <c r="B145" s="157"/>
      <c r="C145" s="157"/>
      <c r="D145" s="159"/>
      <c r="E145" s="159"/>
      <c r="F145" s="159"/>
      <c r="G145" s="160"/>
      <c r="H145" s="159"/>
      <c r="I145" s="74"/>
      <c r="J145" s="74"/>
      <c r="K145" s="74"/>
      <c r="L145" s="74"/>
      <c r="M145" s="74"/>
      <c r="N145" s="74"/>
      <c r="O145" s="127"/>
      <c r="P145" s="70"/>
      <c r="Q145" s="70"/>
    </row>
    <row r="146" spans="1:17" x14ac:dyDescent="0.35">
      <c r="A146" s="156"/>
      <c r="B146" s="157"/>
      <c r="C146" s="157"/>
      <c r="D146" s="159"/>
      <c r="E146" s="159"/>
      <c r="F146" s="159"/>
      <c r="G146" s="160"/>
      <c r="H146" s="159"/>
      <c r="I146" s="74"/>
      <c r="J146" s="74"/>
      <c r="K146" s="74"/>
      <c r="L146" s="74"/>
      <c r="M146" s="74"/>
      <c r="N146" s="74"/>
      <c r="O146" s="127"/>
      <c r="P146" s="70"/>
      <c r="Q146" s="70"/>
    </row>
    <row r="147" spans="1:17" x14ac:dyDescent="0.35">
      <c r="A147" s="156"/>
      <c r="B147" s="157"/>
      <c r="C147" s="157"/>
      <c r="D147" s="159"/>
      <c r="E147" s="159"/>
      <c r="F147" s="159"/>
      <c r="G147" s="160"/>
      <c r="H147" s="159"/>
      <c r="I147" s="74"/>
      <c r="J147" s="74"/>
      <c r="K147" s="74"/>
      <c r="L147" s="74"/>
      <c r="M147" s="74"/>
      <c r="N147" s="74"/>
      <c r="O147" s="127"/>
      <c r="P147" s="70"/>
      <c r="Q147" s="70"/>
    </row>
    <row r="148" spans="1:17" x14ac:dyDescent="0.35">
      <c r="A148" s="156"/>
      <c r="B148" s="157"/>
      <c r="C148" s="157"/>
      <c r="D148" s="159"/>
      <c r="E148" s="159"/>
      <c r="F148" s="159"/>
      <c r="G148" s="160"/>
      <c r="H148" s="159"/>
      <c r="I148" s="74"/>
      <c r="J148" s="74"/>
      <c r="K148" s="74"/>
      <c r="L148" s="74"/>
      <c r="M148" s="74"/>
      <c r="N148" s="74"/>
      <c r="O148" s="127"/>
      <c r="P148" s="70"/>
      <c r="Q148" s="70"/>
    </row>
    <row r="149" spans="1:17" x14ac:dyDescent="0.35">
      <c r="A149" s="156"/>
      <c r="B149" s="157"/>
      <c r="C149" s="157"/>
      <c r="D149" s="159"/>
      <c r="E149" s="159"/>
      <c r="F149" s="159"/>
      <c r="G149" s="160"/>
      <c r="H149" s="159"/>
      <c r="I149" s="74"/>
      <c r="J149" s="74"/>
      <c r="K149" s="74"/>
      <c r="L149" s="74"/>
      <c r="M149" s="74"/>
      <c r="N149" s="74"/>
      <c r="O149" s="127"/>
      <c r="P149" s="70"/>
      <c r="Q149" s="70"/>
    </row>
    <row r="150" spans="1:17" x14ac:dyDescent="0.35">
      <c r="A150" s="156"/>
      <c r="B150" s="157"/>
      <c r="C150" s="157"/>
      <c r="D150" s="159"/>
      <c r="E150" s="159"/>
      <c r="F150" s="159"/>
      <c r="G150" s="160"/>
      <c r="H150" s="159"/>
      <c r="I150" s="74"/>
      <c r="J150" s="74"/>
      <c r="K150" s="74"/>
      <c r="L150" s="74"/>
      <c r="M150" s="74"/>
      <c r="N150" s="74"/>
      <c r="O150" s="127"/>
      <c r="P150" s="70"/>
      <c r="Q150" s="70"/>
    </row>
    <row r="151" spans="1:17" x14ac:dyDescent="0.35">
      <c r="A151" s="156"/>
      <c r="B151" s="157"/>
      <c r="C151" s="157"/>
      <c r="D151" s="159"/>
      <c r="E151" s="159"/>
      <c r="F151" s="159"/>
      <c r="G151" s="160"/>
      <c r="H151" s="159"/>
      <c r="I151" s="74"/>
      <c r="J151" s="74"/>
      <c r="K151" s="74"/>
      <c r="L151" s="74"/>
      <c r="M151" s="74"/>
      <c r="N151" s="74"/>
      <c r="O151" s="127"/>
      <c r="P151" s="70"/>
      <c r="Q151" s="70"/>
    </row>
    <row r="152" spans="1:17" x14ac:dyDescent="0.35">
      <c r="A152" s="156"/>
      <c r="B152" s="157"/>
      <c r="C152" s="157"/>
      <c r="D152" s="159"/>
      <c r="E152" s="159"/>
      <c r="F152" s="159"/>
      <c r="G152" s="160"/>
      <c r="H152" s="159"/>
      <c r="I152" s="74"/>
      <c r="J152" s="74"/>
      <c r="K152" s="74"/>
      <c r="L152" s="74"/>
      <c r="M152" s="74"/>
      <c r="N152" s="74"/>
      <c r="O152" s="127"/>
      <c r="P152" s="70"/>
      <c r="Q152" s="70"/>
    </row>
    <row r="153" spans="1:17" x14ac:dyDescent="0.35">
      <c r="A153" s="156"/>
      <c r="B153" s="157"/>
      <c r="C153" s="157"/>
      <c r="D153" s="159"/>
      <c r="E153" s="159"/>
      <c r="F153" s="159"/>
      <c r="G153" s="160"/>
      <c r="H153" s="159"/>
      <c r="I153" s="74"/>
      <c r="J153" s="74"/>
      <c r="K153" s="74"/>
      <c r="L153" s="74"/>
      <c r="M153" s="74"/>
      <c r="N153" s="74"/>
      <c r="O153" s="127"/>
      <c r="P153" s="70"/>
      <c r="Q153" s="70"/>
    </row>
    <row r="154" spans="1:17" x14ac:dyDescent="0.35">
      <c r="A154" s="156"/>
      <c r="B154" s="157"/>
      <c r="C154" s="157"/>
      <c r="D154" s="159"/>
      <c r="E154" s="159"/>
      <c r="F154" s="159"/>
      <c r="G154" s="160"/>
      <c r="H154" s="159"/>
      <c r="I154" s="74"/>
      <c r="J154" s="74"/>
      <c r="K154" s="74"/>
      <c r="L154" s="74"/>
      <c r="M154" s="74"/>
      <c r="N154" s="74"/>
      <c r="O154" s="127"/>
      <c r="P154" s="70"/>
      <c r="Q154" s="70"/>
    </row>
    <row r="155" spans="1:17" x14ac:dyDescent="0.35">
      <c r="A155" s="156"/>
      <c r="B155" s="157"/>
      <c r="C155" s="157"/>
      <c r="D155" s="159"/>
      <c r="E155" s="159"/>
      <c r="F155" s="159"/>
      <c r="G155" s="160"/>
      <c r="H155" s="159"/>
      <c r="I155" s="74"/>
      <c r="J155" s="74"/>
      <c r="K155" s="74"/>
      <c r="L155" s="74"/>
      <c r="M155" s="74"/>
      <c r="N155" s="74"/>
      <c r="O155" s="127"/>
      <c r="P155" s="70"/>
      <c r="Q155" s="70"/>
    </row>
    <row r="156" spans="1:17" x14ac:dyDescent="0.35">
      <c r="A156" s="156"/>
      <c r="B156" s="157"/>
      <c r="C156" s="157"/>
      <c r="D156" s="159"/>
      <c r="E156" s="159"/>
      <c r="F156" s="159"/>
      <c r="G156" s="160"/>
      <c r="H156" s="159"/>
      <c r="I156" s="74"/>
      <c r="J156" s="74"/>
      <c r="K156" s="74"/>
      <c r="L156" s="74"/>
      <c r="M156" s="74"/>
      <c r="N156" s="74"/>
      <c r="O156" s="127"/>
      <c r="P156" s="70"/>
      <c r="Q156" s="70"/>
    </row>
    <row r="157" spans="1:17" x14ac:dyDescent="0.35">
      <c r="A157" s="156"/>
      <c r="B157" s="157"/>
      <c r="C157" s="157"/>
      <c r="D157" s="159"/>
      <c r="E157" s="159"/>
      <c r="F157" s="159"/>
      <c r="G157" s="160"/>
      <c r="H157" s="159"/>
      <c r="I157" s="74"/>
      <c r="J157" s="74"/>
      <c r="K157" s="74"/>
      <c r="L157" s="74"/>
      <c r="M157" s="74"/>
      <c r="N157" s="74"/>
      <c r="O157" s="127"/>
      <c r="P157" s="70"/>
      <c r="Q157" s="70"/>
    </row>
    <row r="158" spans="1:17" x14ac:dyDescent="0.35">
      <c r="A158" s="156"/>
      <c r="B158" s="157"/>
      <c r="C158" s="157"/>
      <c r="D158" s="159"/>
      <c r="E158" s="159"/>
      <c r="F158" s="159"/>
      <c r="G158" s="160"/>
      <c r="H158" s="159"/>
      <c r="I158" s="74"/>
      <c r="J158" s="74"/>
      <c r="K158" s="74"/>
      <c r="L158" s="74"/>
      <c r="M158" s="74"/>
      <c r="N158" s="74"/>
      <c r="O158" s="127"/>
      <c r="P158" s="70"/>
      <c r="Q158" s="70"/>
    </row>
    <row r="159" spans="1:17" x14ac:dyDescent="0.35">
      <c r="A159" s="156"/>
      <c r="B159" s="157"/>
      <c r="C159" s="157"/>
      <c r="D159" s="159"/>
      <c r="E159" s="159"/>
      <c r="F159" s="159"/>
      <c r="G159" s="160"/>
      <c r="H159" s="159"/>
      <c r="I159" s="74"/>
      <c r="J159" s="74"/>
      <c r="K159" s="74"/>
      <c r="L159" s="74"/>
      <c r="M159" s="74"/>
      <c r="N159" s="74"/>
      <c r="O159" s="127"/>
      <c r="P159" s="70"/>
      <c r="Q159" s="70"/>
    </row>
    <row r="160" spans="1:17" x14ac:dyDescent="0.35">
      <c r="A160" s="156"/>
      <c r="B160" s="157"/>
      <c r="C160" s="157"/>
      <c r="D160" s="159"/>
      <c r="E160" s="159"/>
      <c r="F160" s="159"/>
      <c r="G160" s="160"/>
      <c r="H160" s="159"/>
      <c r="I160" s="74"/>
      <c r="J160" s="74"/>
      <c r="K160" s="74"/>
      <c r="L160" s="74"/>
      <c r="M160" s="74"/>
      <c r="N160" s="74"/>
      <c r="O160" s="127"/>
      <c r="P160" s="70"/>
      <c r="Q160" s="70"/>
    </row>
    <row r="161" spans="1:17" x14ac:dyDescent="0.35">
      <c r="A161" s="156"/>
      <c r="B161" s="157"/>
      <c r="C161" s="157"/>
      <c r="D161" s="159"/>
      <c r="E161" s="159"/>
      <c r="F161" s="159"/>
      <c r="G161" s="160"/>
      <c r="H161" s="159"/>
      <c r="I161" s="74"/>
      <c r="J161" s="74"/>
      <c r="K161" s="74"/>
      <c r="L161" s="74"/>
      <c r="M161" s="74"/>
      <c r="N161" s="74"/>
      <c r="O161" s="127"/>
      <c r="P161" s="70"/>
      <c r="Q161" s="70"/>
    </row>
    <row r="162" spans="1:17" x14ac:dyDescent="0.35">
      <c r="A162" s="156"/>
      <c r="B162" s="157"/>
      <c r="C162" s="157"/>
      <c r="D162" s="159"/>
      <c r="E162" s="159"/>
      <c r="F162" s="159"/>
      <c r="G162" s="160"/>
      <c r="H162" s="159"/>
      <c r="I162" s="74"/>
      <c r="J162" s="74"/>
      <c r="K162" s="74"/>
      <c r="L162" s="74"/>
      <c r="M162" s="74"/>
      <c r="N162" s="74"/>
      <c r="O162" s="127"/>
      <c r="P162" s="70"/>
      <c r="Q162" s="70"/>
    </row>
    <row r="163" spans="1:17" x14ac:dyDescent="0.35">
      <c r="A163" s="156"/>
      <c r="B163" s="157"/>
      <c r="C163" s="157"/>
      <c r="D163" s="159"/>
      <c r="E163" s="159"/>
      <c r="F163" s="159"/>
      <c r="G163" s="160"/>
      <c r="H163" s="159"/>
      <c r="I163" s="74"/>
      <c r="J163" s="74"/>
      <c r="K163" s="74"/>
      <c r="L163" s="74"/>
      <c r="M163" s="74"/>
      <c r="N163" s="74"/>
      <c r="O163" s="127"/>
      <c r="P163" s="70"/>
      <c r="Q163" s="70"/>
    </row>
    <row r="164" spans="1:17" x14ac:dyDescent="0.35">
      <c r="A164" s="156"/>
      <c r="B164" s="157"/>
      <c r="C164" s="157"/>
      <c r="D164" s="159"/>
      <c r="E164" s="159"/>
      <c r="F164" s="159"/>
      <c r="G164" s="160"/>
      <c r="H164" s="159"/>
      <c r="I164" s="74"/>
      <c r="J164" s="74"/>
      <c r="K164" s="74"/>
      <c r="L164" s="74"/>
      <c r="M164" s="74"/>
      <c r="N164" s="74"/>
      <c r="O164" s="127"/>
      <c r="P164" s="70"/>
      <c r="Q164" s="70"/>
    </row>
    <row r="165" spans="1:17" x14ac:dyDescent="0.35">
      <c r="A165" s="156"/>
      <c r="B165" s="157"/>
      <c r="C165" s="157"/>
      <c r="D165" s="159"/>
      <c r="E165" s="159"/>
      <c r="F165" s="159"/>
      <c r="G165" s="160"/>
      <c r="H165" s="159"/>
      <c r="I165" s="74"/>
      <c r="J165" s="74"/>
      <c r="K165" s="74"/>
      <c r="L165" s="74"/>
      <c r="M165" s="74"/>
      <c r="N165" s="74"/>
      <c r="O165" s="127"/>
      <c r="P165" s="70"/>
      <c r="Q165" s="70"/>
    </row>
    <row r="166" spans="1:17" x14ac:dyDescent="0.35">
      <c r="A166" s="156"/>
      <c r="B166" s="157"/>
      <c r="C166" s="157"/>
      <c r="D166" s="159"/>
      <c r="E166" s="159"/>
      <c r="F166" s="159"/>
      <c r="G166" s="160"/>
      <c r="H166" s="159"/>
      <c r="I166" s="74"/>
      <c r="J166" s="74"/>
      <c r="K166" s="74"/>
      <c r="L166" s="74"/>
      <c r="M166" s="74"/>
      <c r="N166" s="74"/>
      <c r="O166" s="127"/>
      <c r="P166" s="70"/>
      <c r="Q166" s="70"/>
    </row>
    <row r="167" spans="1:17" x14ac:dyDescent="0.35">
      <c r="A167" s="156"/>
      <c r="B167" s="157"/>
      <c r="C167" s="157"/>
      <c r="D167" s="159"/>
      <c r="E167" s="159"/>
      <c r="F167" s="159"/>
      <c r="G167" s="160"/>
      <c r="H167" s="159"/>
      <c r="I167" s="74"/>
      <c r="J167" s="74"/>
      <c r="K167" s="74"/>
      <c r="L167" s="74"/>
      <c r="M167" s="74"/>
      <c r="N167" s="74"/>
      <c r="O167" s="127"/>
      <c r="P167" s="70"/>
      <c r="Q167" s="70"/>
    </row>
    <row r="168" spans="1:17" x14ac:dyDescent="0.35">
      <c r="A168" s="156"/>
      <c r="B168" s="157"/>
      <c r="C168" s="157"/>
      <c r="D168" s="159"/>
      <c r="E168" s="159"/>
      <c r="F168" s="159"/>
      <c r="G168" s="159"/>
      <c r="H168" s="159"/>
      <c r="I168" s="74"/>
      <c r="J168" s="74"/>
      <c r="K168" s="74"/>
      <c r="L168" s="74"/>
      <c r="M168" s="74"/>
      <c r="N168" s="74"/>
      <c r="O168" s="127"/>
      <c r="P168" s="70"/>
      <c r="Q168" s="70"/>
    </row>
    <row r="169" spans="1:17" x14ac:dyDescent="0.35">
      <c r="A169" s="156"/>
      <c r="B169" s="157"/>
      <c r="C169" s="157"/>
      <c r="D169" s="159"/>
      <c r="E169" s="159"/>
      <c r="F169" s="159"/>
      <c r="G169" s="159"/>
      <c r="H169" s="159"/>
      <c r="I169" s="74"/>
      <c r="J169" s="74"/>
      <c r="K169" s="74"/>
      <c r="L169" s="74"/>
      <c r="M169" s="74"/>
      <c r="N169" s="74"/>
      <c r="O169" s="127"/>
      <c r="P169" s="70"/>
      <c r="Q169" s="70"/>
    </row>
    <row r="170" spans="1:17" x14ac:dyDescent="0.35">
      <c r="A170" s="156"/>
      <c r="B170" s="157"/>
      <c r="C170" s="157"/>
      <c r="D170" s="159"/>
      <c r="E170" s="159"/>
      <c r="F170" s="159"/>
      <c r="G170" s="159"/>
      <c r="H170" s="159"/>
      <c r="I170" s="74"/>
      <c r="J170" s="74"/>
      <c r="K170" s="74"/>
      <c r="L170" s="74"/>
      <c r="M170" s="74"/>
      <c r="N170" s="74"/>
      <c r="O170" s="127"/>
      <c r="P170" s="70"/>
      <c r="Q170" s="70"/>
    </row>
    <row r="171" spans="1:17" x14ac:dyDescent="0.35">
      <c r="A171" s="156"/>
      <c r="B171" s="157"/>
      <c r="C171" s="157"/>
      <c r="D171" s="159"/>
      <c r="E171" s="159"/>
      <c r="F171" s="159"/>
      <c r="G171" s="160"/>
      <c r="H171" s="159"/>
      <c r="I171" s="74"/>
      <c r="J171" s="74"/>
      <c r="K171" s="74"/>
      <c r="L171" s="74"/>
      <c r="M171" s="74"/>
      <c r="N171" s="74"/>
      <c r="O171" s="127"/>
      <c r="P171" s="70"/>
      <c r="Q171" s="70"/>
    </row>
    <row r="172" spans="1:17" x14ac:dyDescent="0.35">
      <c r="A172" s="156"/>
      <c r="B172" s="157"/>
      <c r="C172" s="157"/>
      <c r="D172" s="159"/>
      <c r="E172" s="159"/>
      <c r="F172" s="159"/>
      <c r="G172" s="160"/>
      <c r="H172" s="159"/>
      <c r="I172" s="74"/>
      <c r="J172" s="74"/>
      <c r="K172" s="74"/>
      <c r="L172" s="74"/>
      <c r="M172" s="74"/>
      <c r="N172" s="74"/>
      <c r="O172" s="127"/>
      <c r="P172" s="70"/>
      <c r="Q172" s="70"/>
    </row>
    <row r="173" spans="1:17" x14ac:dyDescent="0.35">
      <c r="A173" s="156"/>
      <c r="B173" s="157"/>
      <c r="C173" s="157"/>
      <c r="D173" s="159"/>
      <c r="E173" s="159"/>
      <c r="F173" s="159"/>
      <c r="G173" s="160"/>
      <c r="H173" s="159"/>
      <c r="I173" s="74"/>
      <c r="J173" s="74"/>
      <c r="K173" s="74"/>
      <c r="L173" s="74"/>
      <c r="M173" s="74"/>
      <c r="N173" s="74"/>
      <c r="O173" s="127"/>
      <c r="P173" s="70"/>
      <c r="Q173" s="70"/>
    </row>
    <row r="174" spans="1:17" x14ac:dyDescent="0.35">
      <c r="A174" s="156"/>
      <c r="B174" s="157"/>
      <c r="C174" s="157"/>
      <c r="D174" s="159"/>
      <c r="E174" s="159"/>
      <c r="F174" s="159"/>
      <c r="G174" s="160"/>
      <c r="H174" s="159"/>
      <c r="I174" s="74"/>
      <c r="J174" s="74"/>
      <c r="K174" s="74"/>
      <c r="L174" s="74"/>
      <c r="M174" s="74"/>
      <c r="N174" s="74"/>
      <c r="O174" s="127"/>
      <c r="P174" s="70"/>
      <c r="Q174" s="70"/>
    </row>
    <row r="175" spans="1:17" x14ac:dyDescent="0.35">
      <c r="A175" s="156"/>
      <c r="B175" s="157"/>
      <c r="C175" s="157"/>
      <c r="D175" s="159"/>
      <c r="E175" s="159"/>
      <c r="F175" s="159"/>
      <c r="G175" s="160"/>
      <c r="H175" s="159"/>
      <c r="I175" s="74"/>
      <c r="J175" s="74"/>
      <c r="K175" s="74"/>
      <c r="L175" s="74"/>
      <c r="M175" s="74"/>
      <c r="N175" s="74"/>
      <c r="O175" s="127"/>
      <c r="P175" s="70"/>
      <c r="Q175" s="70"/>
    </row>
    <row r="176" spans="1:17" x14ac:dyDescent="0.35">
      <c r="A176" s="156"/>
      <c r="B176" s="157"/>
      <c r="C176" s="157"/>
      <c r="D176" s="159"/>
      <c r="E176" s="159"/>
      <c r="F176" s="159"/>
      <c r="G176" s="160"/>
      <c r="H176" s="159"/>
      <c r="I176" s="74"/>
      <c r="J176" s="74"/>
      <c r="K176" s="74"/>
      <c r="L176" s="74"/>
      <c r="M176" s="74"/>
      <c r="N176" s="74"/>
      <c r="O176" s="127"/>
      <c r="P176" s="70"/>
      <c r="Q176" s="70"/>
    </row>
    <row r="177" spans="1:17" x14ac:dyDescent="0.35">
      <c r="A177" s="156"/>
      <c r="B177" s="157"/>
      <c r="C177" s="157"/>
      <c r="D177" s="159"/>
      <c r="E177" s="159"/>
      <c r="F177" s="159"/>
      <c r="G177" s="160"/>
      <c r="H177" s="159"/>
      <c r="I177" s="74"/>
      <c r="J177" s="74"/>
      <c r="K177" s="74"/>
      <c r="L177" s="74"/>
      <c r="M177" s="74"/>
      <c r="N177" s="74"/>
      <c r="O177" s="127"/>
      <c r="P177" s="70"/>
      <c r="Q177" s="70"/>
    </row>
    <row r="178" spans="1:17" x14ac:dyDescent="0.35">
      <c r="A178" s="156"/>
      <c r="B178" s="157"/>
      <c r="C178" s="157"/>
      <c r="D178" s="159"/>
      <c r="E178" s="159"/>
      <c r="F178" s="159"/>
      <c r="G178" s="160"/>
      <c r="H178" s="159"/>
      <c r="I178" s="74"/>
      <c r="J178" s="74"/>
      <c r="K178" s="74"/>
      <c r="L178" s="74"/>
      <c r="M178" s="74"/>
      <c r="N178" s="74"/>
      <c r="O178" s="127"/>
      <c r="P178" s="70"/>
      <c r="Q178" s="70"/>
    </row>
    <row r="179" spans="1:17" x14ac:dyDescent="0.35">
      <c r="A179" s="156"/>
      <c r="B179" s="157"/>
      <c r="C179" s="157"/>
      <c r="D179" s="159"/>
      <c r="E179" s="159"/>
      <c r="F179" s="159"/>
      <c r="G179" s="160"/>
      <c r="H179" s="159"/>
      <c r="I179" s="74"/>
      <c r="J179" s="74"/>
      <c r="K179" s="74"/>
      <c r="L179" s="74"/>
      <c r="M179" s="74"/>
      <c r="N179" s="74"/>
      <c r="O179" s="127"/>
      <c r="P179" s="70"/>
      <c r="Q179" s="70"/>
    </row>
    <row r="180" spans="1:17" x14ac:dyDescent="0.35">
      <c r="A180" s="156"/>
      <c r="B180" s="157"/>
      <c r="C180" s="157"/>
      <c r="D180" s="159"/>
      <c r="E180" s="159"/>
      <c r="F180" s="159"/>
      <c r="G180" s="159"/>
      <c r="H180" s="159"/>
      <c r="I180" s="74"/>
      <c r="J180" s="74"/>
      <c r="K180" s="74"/>
      <c r="L180" s="74"/>
      <c r="M180" s="74"/>
      <c r="N180" s="74"/>
      <c r="O180" s="127"/>
      <c r="P180" s="70"/>
      <c r="Q180" s="70"/>
    </row>
    <row r="181" spans="1:17" x14ac:dyDescent="0.35">
      <c r="A181" s="156"/>
      <c r="B181" s="157"/>
      <c r="C181" s="157"/>
      <c r="D181" s="159"/>
      <c r="E181" s="159"/>
      <c r="F181" s="159"/>
      <c r="G181" s="159"/>
      <c r="H181" s="159"/>
      <c r="I181" s="74"/>
      <c r="J181" s="74"/>
      <c r="K181" s="74"/>
      <c r="L181" s="74"/>
      <c r="M181" s="74"/>
      <c r="N181" s="74"/>
      <c r="O181" s="127"/>
      <c r="P181" s="70"/>
      <c r="Q181" s="70"/>
    </row>
    <row r="182" spans="1:17" x14ac:dyDescent="0.35">
      <c r="A182" s="156"/>
      <c r="B182" s="157"/>
      <c r="C182" s="157"/>
      <c r="D182" s="159"/>
      <c r="E182" s="159"/>
      <c r="F182" s="159"/>
      <c r="G182" s="159"/>
      <c r="H182" s="159"/>
      <c r="I182" s="74"/>
      <c r="J182" s="74"/>
      <c r="K182" s="74"/>
      <c r="L182" s="74"/>
      <c r="M182" s="74"/>
      <c r="N182" s="74"/>
      <c r="O182" s="127"/>
      <c r="P182" s="70"/>
      <c r="Q182" s="70"/>
    </row>
    <row r="183" spans="1:17" x14ac:dyDescent="0.35">
      <c r="A183" s="156"/>
      <c r="B183" s="157"/>
      <c r="C183" s="157"/>
      <c r="D183" s="159"/>
      <c r="E183" s="159"/>
      <c r="F183" s="159"/>
      <c r="G183" s="159"/>
      <c r="H183" s="159"/>
      <c r="I183" s="74"/>
      <c r="J183" s="74"/>
      <c r="K183" s="74"/>
      <c r="L183" s="74"/>
      <c r="M183" s="74"/>
      <c r="N183" s="74"/>
      <c r="O183" s="127"/>
      <c r="P183" s="70"/>
      <c r="Q183" s="70"/>
    </row>
    <row r="184" spans="1:17" x14ac:dyDescent="0.35">
      <c r="A184" s="156"/>
      <c r="B184" s="157"/>
      <c r="C184" s="157"/>
      <c r="D184" s="159"/>
      <c r="E184" s="159"/>
      <c r="F184" s="159"/>
      <c r="G184" s="159"/>
      <c r="H184" s="159"/>
      <c r="I184" s="74"/>
      <c r="J184" s="74"/>
      <c r="K184" s="74"/>
      <c r="L184" s="74"/>
      <c r="M184" s="74"/>
      <c r="N184" s="74"/>
      <c r="O184" s="127"/>
      <c r="P184" s="70"/>
      <c r="Q184" s="70"/>
    </row>
    <row r="185" spans="1:17" x14ac:dyDescent="0.35">
      <c r="A185" s="156"/>
      <c r="B185" s="157"/>
      <c r="C185" s="157"/>
      <c r="D185" s="159"/>
      <c r="E185" s="159"/>
      <c r="F185" s="159"/>
      <c r="G185" s="159"/>
      <c r="H185" s="159"/>
      <c r="I185" s="74"/>
      <c r="J185" s="74"/>
      <c r="K185" s="74"/>
      <c r="L185" s="74"/>
      <c r="M185" s="74"/>
      <c r="N185" s="74"/>
      <c r="O185" s="127"/>
      <c r="P185" s="70"/>
      <c r="Q185" s="70"/>
    </row>
    <row r="186" spans="1:17" x14ac:dyDescent="0.35">
      <c r="A186" s="156"/>
      <c r="B186" s="157"/>
      <c r="C186" s="157"/>
      <c r="D186" s="159"/>
      <c r="E186" s="159"/>
      <c r="F186" s="159"/>
      <c r="G186" s="159"/>
      <c r="H186" s="159"/>
      <c r="I186" s="74"/>
      <c r="J186" s="74"/>
      <c r="K186" s="74"/>
      <c r="L186" s="74"/>
      <c r="M186" s="74"/>
      <c r="N186" s="74"/>
      <c r="O186" s="127"/>
      <c r="P186" s="70"/>
      <c r="Q186" s="70"/>
    </row>
    <row r="187" spans="1:17" x14ac:dyDescent="0.35">
      <c r="A187" s="156"/>
      <c r="B187" s="157"/>
      <c r="C187" s="157"/>
      <c r="D187" s="159"/>
      <c r="E187" s="159"/>
      <c r="F187" s="159"/>
      <c r="G187" s="159"/>
      <c r="H187" s="159"/>
      <c r="I187" s="74"/>
      <c r="J187" s="74"/>
      <c r="K187" s="74"/>
      <c r="L187" s="74"/>
      <c r="M187" s="74"/>
      <c r="N187" s="74"/>
      <c r="O187" s="127"/>
      <c r="P187" s="70"/>
      <c r="Q187" s="70"/>
    </row>
    <row r="188" spans="1:17" x14ac:dyDescent="0.35">
      <c r="A188" s="156"/>
      <c r="B188" s="157"/>
      <c r="C188" s="157"/>
      <c r="D188" s="159"/>
      <c r="E188" s="159"/>
      <c r="F188" s="159"/>
      <c r="G188" s="159"/>
      <c r="H188" s="159"/>
      <c r="I188" s="74"/>
      <c r="J188" s="74"/>
      <c r="K188" s="74"/>
      <c r="L188" s="74"/>
      <c r="M188" s="74"/>
      <c r="N188" s="74"/>
      <c r="O188" s="127"/>
      <c r="P188" s="70"/>
      <c r="Q188" s="70"/>
    </row>
    <row r="189" spans="1:17" x14ac:dyDescent="0.35">
      <c r="A189" s="156"/>
      <c r="B189" s="157"/>
      <c r="C189" s="157"/>
      <c r="D189" s="159"/>
      <c r="E189" s="159"/>
      <c r="F189" s="159"/>
      <c r="G189" s="159"/>
      <c r="H189" s="159"/>
      <c r="I189" s="74"/>
      <c r="J189" s="74"/>
      <c r="K189" s="74"/>
      <c r="L189" s="74"/>
      <c r="M189" s="74"/>
      <c r="N189" s="74"/>
      <c r="O189" s="127"/>
      <c r="P189" s="70"/>
      <c r="Q189" s="70"/>
    </row>
    <row r="190" spans="1:17" x14ac:dyDescent="0.35">
      <c r="A190" s="156"/>
      <c r="B190" s="157"/>
      <c r="C190" s="157"/>
      <c r="D190" s="159"/>
      <c r="E190" s="159"/>
      <c r="F190" s="159"/>
      <c r="G190" s="159"/>
      <c r="H190" s="159"/>
      <c r="I190" s="74"/>
      <c r="J190" s="74"/>
      <c r="K190" s="74"/>
      <c r="L190" s="74"/>
      <c r="M190" s="74"/>
      <c r="N190" s="74"/>
      <c r="O190" s="127"/>
      <c r="P190" s="70"/>
      <c r="Q190" s="70"/>
    </row>
    <row r="191" spans="1:17" x14ac:dyDescent="0.35">
      <c r="A191" s="156"/>
      <c r="B191" s="157"/>
      <c r="C191" s="157"/>
      <c r="D191" s="159"/>
      <c r="E191" s="159"/>
      <c r="F191" s="159"/>
      <c r="G191" s="159"/>
      <c r="H191" s="159"/>
      <c r="I191" s="74"/>
      <c r="J191" s="74"/>
      <c r="K191" s="74"/>
      <c r="L191" s="74"/>
      <c r="M191" s="74"/>
      <c r="N191" s="74"/>
      <c r="O191" s="127"/>
      <c r="P191" s="70"/>
      <c r="Q191" s="70"/>
    </row>
    <row r="192" spans="1:17" x14ac:dyDescent="0.35">
      <c r="A192" s="156"/>
      <c r="B192" s="157"/>
      <c r="C192" s="157"/>
      <c r="D192" s="159"/>
      <c r="E192" s="159"/>
      <c r="F192" s="159"/>
      <c r="G192" s="159"/>
      <c r="H192" s="159"/>
      <c r="I192" s="74"/>
      <c r="J192" s="74"/>
      <c r="K192" s="74"/>
      <c r="L192" s="74"/>
      <c r="M192" s="74"/>
      <c r="N192" s="74"/>
      <c r="O192" s="127"/>
      <c r="P192" s="70"/>
      <c r="Q192" s="70"/>
    </row>
    <row r="193" spans="1:17" x14ac:dyDescent="0.35">
      <c r="A193" s="127"/>
      <c r="B193" s="70"/>
      <c r="C193" s="70"/>
      <c r="D193" s="74"/>
      <c r="E193" s="74"/>
      <c r="F193" s="74"/>
      <c r="G193" s="74"/>
      <c r="H193" s="74"/>
      <c r="I193" s="74"/>
      <c r="J193" s="74"/>
      <c r="K193" s="74"/>
      <c r="L193" s="74"/>
      <c r="M193" s="74"/>
      <c r="N193" s="74"/>
      <c r="O193" s="127"/>
      <c r="P193" s="70"/>
      <c r="Q193" s="70"/>
    </row>
    <row r="194" spans="1:17" x14ac:dyDescent="0.35">
      <c r="A194" s="127"/>
      <c r="B194" s="70"/>
      <c r="C194" s="70"/>
      <c r="D194" s="74"/>
      <c r="E194" s="74"/>
      <c r="F194" s="74"/>
      <c r="G194" s="74"/>
      <c r="H194" s="74"/>
      <c r="I194" s="74"/>
      <c r="J194" s="74"/>
      <c r="K194" s="74"/>
      <c r="L194" s="74"/>
      <c r="M194" s="74"/>
      <c r="N194" s="74"/>
      <c r="O194" s="127"/>
      <c r="P194" s="70"/>
      <c r="Q194" s="70"/>
    </row>
    <row r="195" spans="1:17" x14ac:dyDescent="0.35">
      <c r="A195" s="127"/>
      <c r="B195" s="70"/>
      <c r="C195" s="70"/>
      <c r="D195" s="74"/>
      <c r="E195" s="74"/>
      <c r="F195" s="74"/>
      <c r="G195" s="74"/>
      <c r="H195" s="74"/>
      <c r="I195" s="74"/>
      <c r="J195" s="74"/>
      <c r="K195" s="74"/>
      <c r="L195" s="74"/>
      <c r="M195" s="74"/>
      <c r="N195" s="74"/>
      <c r="O195" s="127"/>
      <c r="P195" s="70"/>
      <c r="Q195" s="70"/>
    </row>
    <row r="196" spans="1:17" x14ac:dyDescent="0.35">
      <c r="A196" s="127"/>
      <c r="B196" s="70"/>
      <c r="C196" s="70"/>
      <c r="D196" s="74"/>
      <c r="E196" s="74"/>
      <c r="F196" s="74"/>
      <c r="G196" s="74"/>
      <c r="H196" s="74"/>
      <c r="I196" s="74"/>
      <c r="J196" s="74"/>
      <c r="K196" s="74"/>
      <c r="L196" s="74"/>
      <c r="M196" s="74"/>
      <c r="N196" s="74"/>
      <c r="O196" s="127"/>
      <c r="P196" s="70"/>
      <c r="Q196" s="70"/>
    </row>
    <row r="197" spans="1:17" x14ac:dyDescent="0.35">
      <c r="A197" s="127"/>
      <c r="B197" s="70"/>
      <c r="C197" s="70"/>
      <c r="D197" s="74"/>
      <c r="E197" s="74"/>
      <c r="F197" s="74"/>
      <c r="G197" s="74"/>
      <c r="H197" s="74"/>
      <c r="I197" s="74"/>
      <c r="J197" s="74"/>
      <c r="K197" s="74"/>
      <c r="L197" s="74"/>
      <c r="M197" s="74"/>
      <c r="N197" s="74"/>
      <c r="O197" s="127"/>
      <c r="P197" s="70"/>
      <c r="Q197" s="70"/>
    </row>
    <row r="198" spans="1:17" x14ac:dyDescent="0.35">
      <c r="A198" s="127"/>
      <c r="B198" s="70"/>
      <c r="C198" s="70"/>
      <c r="D198" s="74"/>
      <c r="E198" s="74"/>
      <c r="F198" s="74"/>
      <c r="G198" s="74"/>
      <c r="H198" s="74"/>
      <c r="I198" s="74"/>
      <c r="J198" s="74"/>
      <c r="K198" s="74"/>
      <c r="L198" s="74"/>
      <c r="M198" s="74"/>
      <c r="N198" s="74"/>
      <c r="O198" s="127"/>
      <c r="P198" s="70"/>
      <c r="Q198" s="70"/>
    </row>
    <row r="199" spans="1:17" x14ac:dyDescent="0.35">
      <c r="A199" s="127"/>
      <c r="B199" s="70"/>
      <c r="C199" s="70"/>
      <c r="D199" s="74"/>
      <c r="E199" s="74"/>
      <c r="F199" s="74"/>
      <c r="G199" s="74"/>
      <c r="H199" s="74"/>
      <c r="I199" s="74"/>
      <c r="J199" s="74"/>
      <c r="K199" s="74"/>
      <c r="L199" s="74"/>
      <c r="M199" s="74"/>
      <c r="N199" s="74"/>
      <c r="O199" s="127"/>
      <c r="P199" s="70"/>
      <c r="Q199" s="70"/>
    </row>
    <row r="200" spans="1:17" x14ac:dyDescent="0.35">
      <c r="A200" s="127"/>
      <c r="B200" s="70"/>
      <c r="C200" s="70"/>
      <c r="D200" s="74"/>
      <c r="E200" s="74"/>
      <c r="F200" s="74"/>
      <c r="G200" s="74"/>
      <c r="H200" s="74"/>
      <c r="I200" s="74"/>
      <c r="J200" s="74"/>
      <c r="K200" s="74"/>
      <c r="L200" s="74"/>
      <c r="M200" s="74"/>
      <c r="N200" s="74"/>
      <c r="O200" s="127"/>
      <c r="P200" s="70"/>
      <c r="Q200" s="70"/>
    </row>
    <row r="201" spans="1:17" x14ac:dyDescent="0.35">
      <c r="A201" s="127"/>
      <c r="B201" s="70"/>
      <c r="C201" s="70"/>
      <c r="D201" s="74"/>
      <c r="E201" s="74"/>
      <c r="F201" s="74"/>
      <c r="G201" s="74"/>
      <c r="H201" s="74"/>
      <c r="I201" s="74"/>
      <c r="J201" s="74"/>
      <c r="K201" s="74"/>
      <c r="L201" s="74"/>
      <c r="M201" s="74"/>
      <c r="N201" s="74"/>
      <c r="O201" s="127"/>
      <c r="P201" s="70"/>
      <c r="Q201" s="70"/>
    </row>
    <row r="202" spans="1:17" x14ac:dyDescent="0.35">
      <c r="A202" s="127"/>
      <c r="B202" s="70"/>
      <c r="C202" s="70"/>
      <c r="D202" s="74"/>
      <c r="E202" s="74"/>
      <c r="F202" s="74"/>
      <c r="G202" s="74"/>
      <c r="H202" s="74"/>
      <c r="I202" s="74"/>
      <c r="J202" s="74"/>
      <c r="K202" s="74"/>
      <c r="L202" s="74"/>
      <c r="M202" s="74"/>
      <c r="N202" s="74"/>
      <c r="O202" s="127"/>
      <c r="P202" s="70"/>
      <c r="Q202" s="70"/>
    </row>
    <row r="203" spans="1:17" x14ac:dyDescent="0.35">
      <c r="A203" s="127"/>
      <c r="B203" s="70"/>
      <c r="C203" s="70"/>
      <c r="D203" s="74"/>
      <c r="E203" s="74"/>
      <c r="F203" s="74"/>
      <c r="G203" s="74"/>
      <c r="H203" s="74"/>
      <c r="I203" s="74"/>
      <c r="J203" s="74"/>
      <c r="K203" s="74"/>
      <c r="L203" s="74"/>
      <c r="M203" s="74"/>
      <c r="N203" s="74"/>
      <c r="O203" s="127"/>
      <c r="P203" s="70"/>
      <c r="Q203" s="70"/>
    </row>
    <row r="204" spans="1:17" x14ac:dyDescent="0.35">
      <c r="A204" s="127"/>
      <c r="B204" s="70"/>
      <c r="C204" s="70"/>
      <c r="D204" s="74"/>
      <c r="E204" s="74"/>
      <c r="F204" s="74"/>
      <c r="G204" s="74"/>
      <c r="H204" s="74"/>
      <c r="I204" s="74"/>
      <c r="J204" s="74"/>
      <c r="K204" s="74"/>
      <c r="L204" s="74"/>
      <c r="M204" s="74"/>
      <c r="N204" s="74"/>
      <c r="O204" s="127"/>
      <c r="P204" s="70"/>
      <c r="Q204" s="70"/>
    </row>
    <row r="205" spans="1:17" x14ac:dyDescent="0.35">
      <c r="A205" s="127"/>
      <c r="B205" s="70"/>
      <c r="C205" s="70"/>
      <c r="D205" s="74"/>
      <c r="E205" s="74"/>
      <c r="F205" s="74"/>
      <c r="G205" s="74"/>
      <c r="H205" s="74"/>
      <c r="I205" s="74"/>
      <c r="J205" s="74"/>
      <c r="K205" s="74"/>
      <c r="L205" s="74"/>
      <c r="M205" s="74"/>
      <c r="N205" s="74"/>
      <c r="O205" s="127"/>
      <c r="P205" s="70"/>
      <c r="Q205" s="70"/>
    </row>
    <row r="206" spans="1:17" x14ac:dyDescent="0.35">
      <c r="A206" s="127"/>
      <c r="B206" s="70"/>
      <c r="C206" s="70"/>
      <c r="D206" s="74"/>
      <c r="E206" s="74"/>
      <c r="F206" s="74"/>
      <c r="G206" s="74"/>
      <c r="H206" s="74"/>
      <c r="I206" s="74"/>
      <c r="J206" s="74"/>
      <c r="K206" s="74"/>
      <c r="L206" s="74"/>
      <c r="M206" s="74"/>
      <c r="N206" s="74"/>
      <c r="O206" s="127"/>
      <c r="P206" s="70"/>
      <c r="Q206" s="70"/>
    </row>
    <row r="207" spans="1:17" x14ac:dyDescent="0.35">
      <c r="A207" s="127"/>
      <c r="B207" s="70"/>
      <c r="C207" s="70"/>
      <c r="D207" s="74"/>
      <c r="E207" s="74"/>
      <c r="F207" s="74"/>
      <c r="G207" s="74"/>
      <c r="H207" s="74"/>
      <c r="I207" s="74"/>
      <c r="J207" s="74"/>
      <c r="K207" s="74"/>
      <c r="L207" s="74"/>
      <c r="M207" s="74"/>
      <c r="N207" s="74"/>
      <c r="O207" s="127"/>
      <c r="P207" s="70"/>
      <c r="Q207" s="70"/>
    </row>
    <row r="208" spans="1:17" x14ac:dyDescent="0.35">
      <c r="A208" s="127"/>
      <c r="B208" s="70"/>
      <c r="C208" s="70"/>
      <c r="D208" s="74"/>
      <c r="E208" s="74"/>
      <c r="F208" s="74"/>
      <c r="G208" s="74"/>
      <c r="H208" s="74"/>
      <c r="I208" s="74"/>
      <c r="J208" s="74"/>
      <c r="K208" s="74"/>
      <c r="L208" s="74"/>
      <c r="M208" s="74"/>
      <c r="N208" s="74"/>
      <c r="O208" s="127"/>
      <c r="P208" s="70"/>
      <c r="Q208" s="70"/>
    </row>
    <row r="209" spans="1:17" x14ac:dyDescent="0.35">
      <c r="A209" s="127"/>
      <c r="B209" s="70"/>
      <c r="C209" s="70"/>
      <c r="D209" s="74"/>
      <c r="E209" s="74"/>
      <c r="F209" s="74"/>
      <c r="G209" s="74"/>
      <c r="H209" s="74"/>
      <c r="I209" s="74"/>
      <c r="J209" s="74"/>
      <c r="K209" s="74"/>
      <c r="L209" s="74"/>
      <c r="M209" s="74"/>
      <c r="N209" s="74"/>
      <c r="O209" s="127"/>
      <c r="P209" s="70"/>
      <c r="Q209" s="70"/>
    </row>
    <row r="210" spans="1:17" x14ac:dyDescent="0.35">
      <c r="A210" s="127"/>
      <c r="B210" s="70"/>
      <c r="C210" s="70"/>
      <c r="D210" s="74"/>
      <c r="E210" s="74"/>
      <c r="F210" s="74"/>
      <c r="G210" s="74"/>
      <c r="H210" s="74"/>
      <c r="I210" s="74"/>
      <c r="J210" s="74"/>
      <c r="K210" s="74"/>
      <c r="L210" s="74"/>
      <c r="M210" s="74"/>
      <c r="N210" s="74"/>
      <c r="O210" s="127"/>
      <c r="P210" s="70"/>
      <c r="Q210" s="70"/>
    </row>
    <row r="211" spans="1:17" x14ac:dyDescent="0.35">
      <c r="A211" s="127"/>
      <c r="B211" s="70"/>
      <c r="C211" s="70"/>
      <c r="D211" s="74"/>
      <c r="E211" s="74"/>
      <c r="F211" s="74"/>
      <c r="G211" s="74"/>
      <c r="H211" s="74"/>
      <c r="I211" s="74"/>
      <c r="J211" s="74"/>
      <c r="K211" s="74"/>
      <c r="L211" s="74"/>
      <c r="M211" s="74"/>
      <c r="N211" s="74"/>
      <c r="O211" s="127"/>
      <c r="P211" s="70"/>
      <c r="Q211" s="70"/>
    </row>
    <row r="212" spans="1:17" x14ac:dyDescent="0.35">
      <c r="A212" s="127"/>
      <c r="B212" s="70"/>
      <c r="C212" s="70"/>
      <c r="D212" s="74"/>
      <c r="E212" s="74"/>
      <c r="F212" s="74"/>
      <c r="G212" s="74"/>
      <c r="H212" s="74"/>
      <c r="I212" s="74"/>
      <c r="J212" s="74"/>
      <c r="K212" s="74"/>
      <c r="L212" s="74"/>
      <c r="M212" s="74"/>
      <c r="N212" s="74"/>
      <c r="O212" s="127"/>
      <c r="P212" s="70"/>
      <c r="Q212" s="70"/>
    </row>
    <row r="213" spans="1:17" x14ac:dyDescent="0.35">
      <c r="A213" s="127"/>
      <c r="B213" s="70"/>
      <c r="C213" s="70"/>
      <c r="D213" s="74"/>
      <c r="E213" s="74"/>
      <c r="F213" s="74"/>
      <c r="G213" s="74"/>
      <c r="H213" s="74"/>
      <c r="I213" s="74"/>
      <c r="J213" s="74"/>
      <c r="K213" s="74"/>
      <c r="L213" s="74"/>
      <c r="M213" s="74"/>
      <c r="N213" s="74"/>
      <c r="O213" s="127"/>
      <c r="P213" s="70"/>
      <c r="Q213" s="70"/>
    </row>
    <row r="214" spans="1:17" ht="15.75" customHeight="1" x14ac:dyDescent="0.35">
      <c r="A214" s="127"/>
      <c r="B214" s="70"/>
      <c r="C214" s="70"/>
      <c r="D214" s="74"/>
      <c r="E214" s="74"/>
      <c r="F214" s="74"/>
      <c r="G214" s="74"/>
      <c r="H214" s="74"/>
      <c r="I214" s="74"/>
      <c r="J214" s="74"/>
      <c r="K214" s="74"/>
      <c r="L214" s="74"/>
      <c r="M214" s="74"/>
      <c r="N214" s="74"/>
      <c r="O214" s="127"/>
      <c r="P214" s="70"/>
      <c r="Q214" s="70"/>
    </row>
    <row r="215" spans="1:17" x14ac:dyDescent="0.35">
      <c r="A215" s="127"/>
      <c r="B215" s="70"/>
      <c r="C215" s="70"/>
      <c r="D215" s="74"/>
      <c r="E215" s="74"/>
      <c r="F215" s="74"/>
      <c r="G215" s="74"/>
      <c r="H215" s="74"/>
      <c r="I215" s="74"/>
      <c r="J215" s="74"/>
      <c r="K215" s="74"/>
      <c r="L215" s="74"/>
      <c r="M215" s="74"/>
      <c r="N215" s="74"/>
      <c r="O215" s="127"/>
      <c r="P215" s="70"/>
      <c r="Q215" s="70"/>
    </row>
    <row r="216" spans="1:17" x14ac:dyDescent="0.35">
      <c r="A216" s="127"/>
      <c r="B216" s="70"/>
      <c r="C216" s="70"/>
      <c r="D216" s="74"/>
      <c r="E216" s="74"/>
      <c r="F216" s="74"/>
      <c r="G216" s="74"/>
      <c r="H216" s="74"/>
      <c r="I216" s="74"/>
      <c r="J216" s="74"/>
      <c r="K216" s="74"/>
      <c r="L216" s="74"/>
      <c r="M216" s="74"/>
      <c r="N216" s="74"/>
      <c r="O216" s="127"/>
      <c r="P216" s="70"/>
      <c r="Q216" s="70"/>
    </row>
    <row r="217" spans="1:17" x14ac:dyDescent="0.35">
      <c r="A217" s="127"/>
      <c r="B217" s="70"/>
      <c r="C217" s="70"/>
      <c r="D217" s="74"/>
      <c r="E217" s="74"/>
      <c r="F217" s="74"/>
      <c r="G217" s="74"/>
      <c r="H217" s="74"/>
      <c r="I217" s="74"/>
      <c r="J217" s="74"/>
      <c r="K217" s="74"/>
      <c r="L217" s="74"/>
      <c r="M217" s="74"/>
      <c r="N217" s="74"/>
      <c r="O217" s="127"/>
      <c r="P217" s="70"/>
      <c r="Q217" s="70"/>
    </row>
    <row r="218" spans="1:17" x14ac:dyDescent="0.35">
      <c r="A218" s="127"/>
      <c r="B218" s="70"/>
      <c r="C218" s="70"/>
      <c r="D218" s="74"/>
      <c r="E218" s="74"/>
      <c r="F218" s="74"/>
      <c r="G218" s="74"/>
      <c r="H218" s="74"/>
      <c r="I218" s="74"/>
      <c r="J218" s="74"/>
      <c r="K218" s="74"/>
      <c r="L218" s="74"/>
      <c r="M218" s="74"/>
      <c r="N218" s="74"/>
      <c r="O218" s="127"/>
      <c r="P218" s="70"/>
      <c r="Q218" s="70"/>
    </row>
    <row r="219" spans="1:17" x14ac:dyDescent="0.35">
      <c r="A219" s="127"/>
      <c r="B219" s="70"/>
      <c r="C219" s="70"/>
      <c r="D219" s="74"/>
      <c r="E219" s="74"/>
      <c r="F219" s="74"/>
      <c r="G219" s="74"/>
      <c r="H219" s="74"/>
      <c r="I219" s="74"/>
      <c r="J219" s="74"/>
      <c r="K219" s="74"/>
      <c r="L219" s="74"/>
      <c r="M219" s="74"/>
      <c r="N219" s="74"/>
      <c r="O219" s="127"/>
      <c r="P219" s="70"/>
      <c r="Q219" s="70"/>
    </row>
    <row r="220" spans="1:17" x14ac:dyDescent="0.35">
      <c r="A220" s="127"/>
      <c r="B220" s="70"/>
      <c r="C220" s="141"/>
      <c r="D220" s="133"/>
      <c r="E220" s="74"/>
      <c r="F220" s="74"/>
      <c r="G220" s="75"/>
      <c r="H220" s="74"/>
      <c r="I220" s="74"/>
      <c r="J220" s="74"/>
      <c r="K220" s="74"/>
      <c r="L220" s="74"/>
      <c r="M220" s="74"/>
      <c r="N220" s="74"/>
      <c r="O220" s="127"/>
      <c r="P220" s="70"/>
      <c r="Q220" s="70"/>
    </row>
    <row r="221" spans="1:17" x14ac:dyDescent="0.35">
      <c r="A221" s="127"/>
      <c r="B221" s="70"/>
      <c r="C221" s="141"/>
      <c r="D221" s="133"/>
      <c r="E221" s="74"/>
      <c r="F221" s="74"/>
      <c r="G221" s="75"/>
      <c r="H221" s="74"/>
      <c r="I221" s="74"/>
      <c r="J221" s="74"/>
      <c r="K221" s="74"/>
      <c r="L221" s="74"/>
      <c r="M221" s="74"/>
      <c r="N221" s="74"/>
      <c r="O221" s="127"/>
      <c r="P221" s="70"/>
      <c r="Q221" s="70"/>
    </row>
    <row r="222" spans="1:17" x14ac:dyDescent="0.35">
      <c r="A222" s="127"/>
      <c r="B222" s="70"/>
      <c r="C222" s="141"/>
      <c r="D222" s="133"/>
      <c r="E222" s="74"/>
      <c r="F222" s="74"/>
      <c r="G222" s="75"/>
      <c r="H222" s="74"/>
      <c r="I222" s="74"/>
      <c r="J222" s="74"/>
      <c r="K222" s="74"/>
      <c r="L222" s="74"/>
      <c r="M222" s="74"/>
      <c r="N222" s="74"/>
      <c r="O222" s="127"/>
      <c r="P222" s="70"/>
      <c r="Q222" s="70"/>
    </row>
    <row r="223" spans="1:17" x14ac:dyDescent="0.35">
      <c r="A223" s="133"/>
      <c r="B223" s="90"/>
      <c r="C223" s="90"/>
      <c r="D223" s="74"/>
      <c r="E223" s="133"/>
      <c r="F223" s="133"/>
      <c r="G223" s="134"/>
      <c r="H223" s="74"/>
      <c r="I223" s="74"/>
      <c r="J223" s="74"/>
      <c r="K223" s="74"/>
      <c r="L223" s="74"/>
      <c r="M223" s="74"/>
      <c r="N223" s="74"/>
      <c r="O223" s="127"/>
      <c r="P223" s="70"/>
      <c r="Q223" s="70"/>
    </row>
    <row r="224" spans="1:17" x14ac:dyDescent="0.35">
      <c r="A224" s="133"/>
      <c r="B224" s="90"/>
      <c r="C224" s="90"/>
      <c r="D224" s="133"/>
      <c r="E224" s="133"/>
      <c r="F224" s="133"/>
      <c r="G224" s="134"/>
      <c r="H224" s="74"/>
      <c r="I224" s="74"/>
      <c r="J224" s="74"/>
      <c r="K224" s="74"/>
      <c r="L224" s="74"/>
      <c r="M224" s="74"/>
      <c r="N224" s="74"/>
      <c r="O224" s="127"/>
      <c r="P224" s="70"/>
      <c r="Q224" s="70"/>
    </row>
  </sheetData>
  <autoFilter ref="A1:Q224" xr:uid="{00000000-0001-0000-0300-000000000000}"/>
  <phoneticPr fontId="40" type="noConversion"/>
  <pageMargins left="0.25" right="0.25" top="0.75" bottom="0.75" header="0.3" footer="0.3"/>
  <pageSetup paperSize="9" scale="7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workbookViewId="0">
      <selection activeCell="F7" sqref="F7"/>
    </sheetView>
  </sheetViews>
  <sheetFormatPr defaultRowHeight="14.5" x14ac:dyDescent="0.35"/>
  <cols>
    <col min="2" max="2" width="36" bestFit="1" customWidth="1"/>
  </cols>
  <sheetData>
    <row r="1" spans="1:8" ht="15" thickBot="1" x14ac:dyDescent="0.4">
      <c r="A1" s="64" t="s">
        <v>75</v>
      </c>
      <c r="B1" s="65" t="s">
        <v>76</v>
      </c>
    </row>
    <row r="2" spans="1:8" x14ac:dyDescent="0.35">
      <c r="A2" s="99">
        <v>365</v>
      </c>
      <c r="B2" s="97" t="s">
        <v>147</v>
      </c>
    </row>
    <row r="3" spans="1:8" x14ac:dyDescent="0.35">
      <c r="A3" s="54">
        <v>38362</v>
      </c>
      <c r="B3" s="55" t="s">
        <v>77</v>
      </c>
    </row>
    <row r="4" spans="1:8" x14ac:dyDescent="0.35">
      <c r="A4" s="53">
        <v>10043</v>
      </c>
      <c r="B4" s="55" t="s">
        <v>56</v>
      </c>
    </row>
    <row r="5" spans="1:8" x14ac:dyDescent="0.35">
      <c r="A5" s="53">
        <v>19578</v>
      </c>
      <c r="B5" s="55" t="s">
        <v>56</v>
      </c>
    </row>
    <row r="6" spans="1:8" x14ac:dyDescent="0.35">
      <c r="A6" s="53">
        <v>31469</v>
      </c>
      <c r="B6" s="55" t="s">
        <v>626</v>
      </c>
    </row>
    <row r="7" spans="1:8" x14ac:dyDescent="0.35">
      <c r="A7" s="53">
        <v>37930</v>
      </c>
      <c r="B7" s="55" t="s">
        <v>88</v>
      </c>
    </row>
    <row r="8" spans="1:8" x14ac:dyDescent="0.35">
      <c r="A8" s="53">
        <v>34570</v>
      </c>
      <c r="B8" s="55" t="s">
        <v>84</v>
      </c>
    </row>
    <row r="9" spans="1:8" x14ac:dyDescent="0.35">
      <c r="A9" s="53">
        <v>14990</v>
      </c>
      <c r="B9" s="55" t="s">
        <v>406</v>
      </c>
    </row>
    <row r="10" spans="1:8" x14ac:dyDescent="0.35">
      <c r="A10" s="53">
        <v>35194</v>
      </c>
      <c r="B10" s="55" t="s">
        <v>150</v>
      </c>
    </row>
    <row r="11" spans="1:8" x14ac:dyDescent="0.35">
      <c r="A11" s="54">
        <v>35693</v>
      </c>
      <c r="B11" s="55" t="s">
        <v>101</v>
      </c>
    </row>
    <row r="12" spans="1:8" x14ac:dyDescent="0.35">
      <c r="A12" s="53">
        <v>14814</v>
      </c>
      <c r="B12" s="55" t="s">
        <v>414</v>
      </c>
      <c r="H12" s="94"/>
    </row>
    <row r="13" spans="1:8" x14ac:dyDescent="0.35">
      <c r="A13" s="53">
        <v>28449</v>
      </c>
      <c r="B13" s="55" t="s">
        <v>80</v>
      </c>
      <c r="H13" s="94"/>
    </row>
    <row r="14" spans="1:8" x14ac:dyDescent="0.35">
      <c r="A14" s="53">
        <v>34570</v>
      </c>
      <c r="B14" s="55" t="s">
        <v>85</v>
      </c>
      <c r="H14" s="94"/>
    </row>
    <row r="15" spans="1:8" x14ac:dyDescent="0.35">
      <c r="A15" s="54">
        <v>38400</v>
      </c>
      <c r="B15" s="55" t="s">
        <v>146</v>
      </c>
      <c r="H15" s="94"/>
    </row>
    <row r="16" spans="1:8" x14ac:dyDescent="0.35">
      <c r="A16" s="53">
        <v>39236</v>
      </c>
      <c r="B16" s="55" t="s">
        <v>82</v>
      </c>
    </row>
    <row r="17" spans="1:3" x14ac:dyDescent="0.35">
      <c r="A17" s="54">
        <v>41405</v>
      </c>
      <c r="B17" s="55" t="s">
        <v>105</v>
      </c>
    </row>
    <row r="18" spans="1:3" x14ac:dyDescent="0.35">
      <c r="A18" s="53">
        <v>41949</v>
      </c>
      <c r="B18" s="55" t="s">
        <v>81</v>
      </c>
    </row>
    <row r="19" spans="1:3" x14ac:dyDescent="0.35">
      <c r="A19" s="53">
        <v>39183</v>
      </c>
      <c r="B19" s="55" t="s">
        <v>83</v>
      </c>
    </row>
    <row r="20" spans="1:3" x14ac:dyDescent="0.35">
      <c r="A20" s="53">
        <v>43761</v>
      </c>
      <c r="B20" s="55" t="s">
        <v>86</v>
      </c>
    </row>
    <row r="21" spans="1:3" x14ac:dyDescent="0.35">
      <c r="A21" s="53" t="s">
        <v>74</v>
      </c>
      <c r="B21" s="55" t="s">
        <v>87</v>
      </c>
    </row>
    <row r="22" spans="1:3" x14ac:dyDescent="0.35">
      <c r="A22" s="54" t="s">
        <v>99</v>
      </c>
      <c r="B22" s="55" t="s">
        <v>100</v>
      </c>
    </row>
    <row r="23" spans="1:3" ht="15" thickBot="1" x14ac:dyDescent="0.4">
      <c r="A23" s="96" t="s">
        <v>79</v>
      </c>
      <c r="B23" s="98" t="s">
        <v>78</v>
      </c>
    </row>
    <row r="24" spans="1:3" x14ac:dyDescent="0.35">
      <c r="A24" s="53">
        <v>41285</v>
      </c>
      <c r="B24" s="55" t="s">
        <v>221</v>
      </c>
    </row>
    <row r="25" spans="1:3" x14ac:dyDescent="0.35">
      <c r="A25" s="53">
        <v>14197</v>
      </c>
      <c r="B25" s="55" t="s">
        <v>222</v>
      </c>
    </row>
    <row r="26" spans="1:3" x14ac:dyDescent="0.35">
      <c r="A26" s="53">
        <v>39184</v>
      </c>
      <c r="B26" s="55" t="s">
        <v>223</v>
      </c>
    </row>
    <row r="27" spans="1:3" ht="15" thickBot="1" x14ac:dyDescent="0.4">
      <c r="A27" s="53">
        <v>14235</v>
      </c>
      <c r="B27" s="148" t="s">
        <v>81</v>
      </c>
    </row>
    <row r="28" spans="1:3" ht="15" thickBot="1" x14ac:dyDescent="0.4">
      <c r="A28" s="53">
        <v>11070</v>
      </c>
      <c r="B28" s="150" t="s">
        <v>320</v>
      </c>
      <c r="C28" s="151"/>
    </row>
    <row r="29" spans="1:3" x14ac:dyDescent="0.35">
      <c r="A29" s="53">
        <v>25390</v>
      </c>
      <c r="B29" s="149" t="s">
        <v>224</v>
      </c>
    </row>
    <row r="30" spans="1:3" ht="15" thickBot="1" x14ac:dyDescent="0.4">
      <c r="A30" s="53" t="s">
        <v>74</v>
      </c>
      <c r="B30" s="98" t="s">
        <v>87</v>
      </c>
    </row>
    <row r="31" spans="1:3" x14ac:dyDescent="0.35">
      <c r="A31" s="54">
        <v>39543</v>
      </c>
      <c r="B31" s="55" t="s">
        <v>451</v>
      </c>
    </row>
  </sheetData>
  <autoFilter ref="A1:B31" xr:uid="{00000000-0001-0000-0400-000000000000}"/>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7a1139a-2c86-403e-b912-65e18ed1fddd">
      <Terms xmlns="http://schemas.microsoft.com/office/infopath/2007/PartnerControls"/>
    </lcf76f155ced4ddcb4097134ff3c332f>
    <TaxCatchAll xmlns="a18d9bef-607a-4b19-b660-c7b975c7708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C692AC654D5349A9BC3D20D5F3A1B2" ma:contentTypeVersion="17" ma:contentTypeDescription="Crie um novo documento." ma:contentTypeScope="" ma:versionID="f8347eca82748cd211d89cc0605e4c53">
  <xsd:schema xmlns:xsd="http://www.w3.org/2001/XMLSchema" xmlns:xs="http://www.w3.org/2001/XMLSchema" xmlns:p="http://schemas.microsoft.com/office/2006/metadata/properties" xmlns:ns2="37a1139a-2c86-403e-b912-65e18ed1fddd" xmlns:ns3="a18d9bef-607a-4b19-b660-c7b975c77087" targetNamespace="http://schemas.microsoft.com/office/2006/metadata/properties" ma:root="true" ma:fieldsID="eb69d831ba46ad06b8ce68d362a6bc61" ns2:_="" ns3:_="">
    <xsd:import namespace="37a1139a-2c86-403e-b912-65e18ed1fddd"/>
    <xsd:import namespace="a18d9bef-607a-4b19-b660-c7b975c770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a1139a-2c86-403e-b912-65e18ed1fd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Marcações de imagem" ma:readOnly="false" ma:fieldId="{5cf76f15-5ced-4ddc-b409-7134ff3c332f}" ma:taxonomyMulti="true" ma:sspId="b5378e6f-7f81-45e5-a43a-1473736d4c46"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18d9bef-607a-4b19-b660-c7b975c77087"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element name="TaxCatchAll" ma:index="16" nillable="true" ma:displayName="Taxonomy Catch All Column" ma:hidden="true" ma:list="{ce46df27-90e1-4cc9-a005-c0dc0d7b5ca8}" ma:internalName="TaxCatchAll" ma:showField="CatchAllData" ma:web="a18d9bef-607a-4b19-b660-c7b975c770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AA365B-4F52-4361-A201-5FA6E8E10D7E}">
  <ds:schemaRefs>
    <ds:schemaRef ds:uri="http://schemas.microsoft.com/office/2006/metadata/properties"/>
    <ds:schemaRef ds:uri="http://schemas.microsoft.com/office/infopath/2007/PartnerControls"/>
    <ds:schemaRef ds:uri="37a1139a-2c86-403e-b912-65e18ed1fddd"/>
    <ds:schemaRef ds:uri="a18d9bef-607a-4b19-b660-c7b975c77087"/>
  </ds:schemaRefs>
</ds:datastoreItem>
</file>

<file path=customXml/itemProps2.xml><?xml version="1.0" encoding="utf-8"?>
<ds:datastoreItem xmlns:ds="http://schemas.openxmlformats.org/officeDocument/2006/customXml" ds:itemID="{EC025D77-3870-4BBE-BC7D-2C7A2446C48A}">
  <ds:schemaRefs>
    <ds:schemaRef ds:uri="http://schemas.microsoft.com/sharepoint/v3/contenttype/forms"/>
  </ds:schemaRefs>
</ds:datastoreItem>
</file>

<file path=customXml/itemProps3.xml><?xml version="1.0" encoding="utf-8"?>
<ds:datastoreItem xmlns:ds="http://schemas.openxmlformats.org/officeDocument/2006/customXml" ds:itemID="{80B1D443-24FF-40EB-A766-E02643CF06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a1139a-2c86-403e-b912-65e18ed1fddd"/>
    <ds:schemaRef ds:uri="a18d9bef-607a-4b19-b660-c7b975c770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15</vt:i4>
      </vt:variant>
      <vt:variant>
        <vt:lpstr>Intervalos Nomeados</vt:lpstr>
      </vt:variant>
      <vt:variant>
        <vt:i4>8</vt:i4>
      </vt:variant>
    </vt:vector>
  </HeadingPairs>
  <TitlesOfParts>
    <vt:vector size="23" baseType="lpstr">
      <vt:lpstr>TREINAMENTO DE NR 35</vt:lpstr>
      <vt:lpstr>CERTIFICADO DE NR 35</vt:lpstr>
      <vt:lpstr>TREINAMENTO DE NR 11</vt:lpstr>
      <vt:lpstr>CERTIFICADO DE NR 11</vt:lpstr>
      <vt:lpstr>TREINAMENTO DE NR 12 PORTATEIS</vt:lpstr>
      <vt:lpstr>CERTIFICADO DE NR 12 PORTATEIS</vt:lpstr>
      <vt:lpstr>TREINAMENTO DE NR 12</vt:lpstr>
      <vt:lpstr>CERTIFICADO DE NR 12</vt:lpstr>
      <vt:lpstr>TREINAMENTO DE INTEGRAÇÃO</vt:lpstr>
      <vt:lpstr>CERTIFICADO DE NR 18</vt:lpstr>
      <vt:lpstr>ORDEM DE SERVIÇO</vt:lpstr>
      <vt:lpstr>FICHA DE EPI</vt:lpstr>
      <vt:lpstr>MATRIZ FUNÇÃO</vt:lpstr>
      <vt:lpstr>MATRIZ FUNCIONÁRIOS</vt:lpstr>
      <vt:lpstr>MATRIZ EPI</vt:lpstr>
      <vt:lpstr>'CERTIFICADO DE NR 11'!Area_de_impressao</vt:lpstr>
      <vt:lpstr>'CERTIFICADO DE NR 12'!Area_de_impressao</vt:lpstr>
      <vt:lpstr>'CERTIFICADO DE NR 12 PORTATEIS'!Area_de_impressao</vt:lpstr>
      <vt:lpstr>'CERTIFICADO DE NR 18'!Area_de_impressao</vt:lpstr>
      <vt:lpstr>'CERTIFICADO DE NR 35'!Area_de_impressao</vt:lpstr>
      <vt:lpstr>'FICHA DE EPI'!Area_de_impressao</vt:lpstr>
      <vt:lpstr>'ORDEM DE SERVIÇO'!Area_de_impressao</vt:lpstr>
      <vt:lpstr>'TREINAMENTO DE INTEGRAÇÃO'!Area_de_impressao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Usuário</dc:creator>
  <cp:lastModifiedBy>Gilton Miranda</cp:lastModifiedBy>
  <cp:lastPrinted>2026-08-25T17:12:31Z</cp:lastPrinted>
  <dcterms:created xsi:type="dcterms:W3CDTF">2021-08-23T17:31:17Z</dcterms:created>
  <dcterms:modified xsi:type="dcterms:W3CDTF">2026-08-26T16:48:28Z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0x010100E6C692AC654D5349A9BC3D20D5F3A1B2</vt:lpwstr>
  </property>
</Properties>
</file>